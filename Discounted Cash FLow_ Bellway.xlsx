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9f9d0b04a3f4eb25/Desktop/Projects/"/>
    </mc:Choice>
  </mc:AlternateContent>
  <xr:revisionPtr revIDLastSave="0" documentId="8_{B57599BD-A096-45C1-9E8F-DC63435C2D9C}" xr6:coauthVersionLast="47" xr6:coauthVersionMax="47" xr10:uidLastSave="{00000000-0000-0000-0000-000000000000}"/>
  <bookViews>
    <workbookView xWindow="-108" yWindow="-108" windowWidth="23256" windowHeight="13176" xr2:uid="{00000000-000D-0000-FFFF-FFFF00000000}"/>
  </bookViews>
  <sheets>
    <sheet name="Notes" sheetId="1" r:id="rId1"/>
    <sheet name="Assumptions" sheetId="2" r:id="rId2"/>
    <sheet name="Side calculations" sheetId="3" r:id="rId3"/>
    <sheet name="Income Statement" sheetId="4" r:id="rId4"/>
    <sheet name="Balance sheet" sheetId="5" r:id="rId5"/>
    <sheet name="DCF" sheetId="6" r:id="rId6"/>
    <sheet name="Sensitivity" sheetId="7" r:id="rId7"/>
  </sheets>
  <definedNames>
    <definedName name="AcquirorLFY" localSheetId="2">#REF!</definedName>
    <definedName name="AcquirorLFY">#REF!</definedName>
    <definedName name="case">#REF!</definedName>
    <definedName name="circ">#REF!</definedName>
    <definedName name="company">Notes!$C$4</definedName>
    <definedName name="currency">Notes!$C$8</definedName>
    <definedName name="g">DCF!$C$22</definedName>
    <definedName name="LFY">Notes!$C$6</definedName>
    <definedName name="WACC">DCF!$C$21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9" i="7" l="1"/>
  <c r="G9" i="7"/>
  <c r="H9" i="7"/>
  <c r="I9" i="7"/>
  <c r="J9" i="7"/>
  <c r="E9" i="7"/>
  <c r="J8" i="7"/>
  <c r="I8" i="7"/>
  <c r="H8" i="7"/>
  <c r="G8" i="7"/>
  <c r="F8" i="7"/>
  <c r="E8" i="7"/>
  <c r="J6" i="7"/>
  <c r="I6" i="7"/>
  <c r="H6" i="7"/>
  <c r="G6" i="7"/>
  <c r="F6" i="7"/>
  <c r="E6" i="7"/>
  <c r="J5" i="7"/>
  <c r="I5" i="7"/>
  <c r="H5" i="7"/>
  <c r="G5" i="7"/>
  <c r="F5" i="7"/>
  <c r="E5" i="7"/>
  <c r="J3" i="7"/>
  <c r="I3" i="7"/>
  <c r="H3" i="7"/>
  <c r="G3" i="7"/>
  <c r="F3" i="7"/>
  <c r="E3" i="7"/>
  <c r="D33" i="6"/>
  <c r="D34" i="6"/>
  <c r="F22" i="3"/>
  <c r="G22" i="3"/>
  <c r="H22" i="3"/>
  <c r="I22" i="3"/>
  <c r="J22" i="3"/>
  <c r="E22" i="3"/>
  <c r="F26" i="6"/>
  <c r="G26" i="6"/>
  <c r="H26" i="6"/>
  <c r="I26" i="6"/>
  <c r="J26" i="6"/>
  <c r="E26" i="6"/>
  <c r="F14" i="6"/>
  <c r="G14" i="6"/>
  <c r="H14" i="6"/>
  <c r="I14" i="6"/>
  <c r="J14" i="6"/>
  <c r="E14" i="6"/>
  <c r="F12" i="6"/>
  <c r="G12" i="6"/>
  <c r="H12" i="6"/>
  <c r="I12" i="6"/>
  <c r="J12" i="6"/>
  <c r="E12" i="6"/>
  <c r="D18" i="3"/>
  <c r="E15" i="3" s="1"/>
  <c r="F28" i="3"/>
  <c r="G28" i="3"/>
  <c r="H28" i="3"/>
  <c r="I28" i="3"/>
  <c r="E28" i="3"/>
  <c r="D29" i="3"/>
  <c r="E27" i="3" s="1"/>
  <c r="D23" i="3"/>
  <c r="E21" i="3"/>
  <c r="J28" i="3"/>
  <c r="F29" i="5"/>
  <c r="G29" i="5"/>
  <c r="H29" i="5"/>
  <c r="I29" i="5"/>
  <c r="J29" i="5"/>
  <c r="E29" i="5"/>
  <c r="F16" i="5"/>
  <c r="G16" i="5"/>
  <c r="H16" i="5"/>
  <c r="I16" i="5"/>
  <c r="J16" i="5"/>
  <c r="E16" i="5"/>
  <c r="F21" i="4"/>
  <c r="G21" i="4"/>
  <c r="H21" i="4"/>
  <c r="I21" i="4"/>
  <c r="J21" i="4"/>
  <c r="E21" i="4"/>
  <c r="E9" i="3"/>
  <c r="G15" i="4"/>
  <c r="H15" i="4"/>
  <c r="I15" i="4"/>
  <c r="J15" i="4"/>
  <c r="F15" i="4"/>
  <c r="E15" i="4"/>
  <c r="F33" i="2"/>
  <c r="G33" i="2"/>
  <c r="H33" i="2"/>
  <c r="I33" i="2"/>
  <c r="J33" i="2" s="1"/>
  <c r="E33" i="2"/>
  <c r="F27" i="2"/>
  <c r="G27" i="2" s="1"/>
  <c r="H27" i="2" s="1"/>
  <c r="I27" i="2" s="1"/>
  <c r="J27" i="2" s="1"/>
  <c r="E27" i="2"/>
  <c r="D27" i="2"/>
  <c r="C27" i="2"/>
  <c r="A2" i="6"/>
  <c r="A2" i="5"/>
  <c r="A2" i="4"/>
  <c r="A2" i="3"/>
  <c r="A2" i="2"/>
  <c r="E29" i="3" l="1"/>
  <c r="E23" i="3"/>
  <c r="E26" i="5" s="1"/>
  <c r="D15" i="2"/>
  <c r="C15" i="2"/>
  <c r="D11" i="4"/>
  <c r="D17" i="4" s="1"/>
  <c r="D22" i="4" s="1"/>
  <c r="D10" i="4"/>
  <c r="E24" i="3" l="1"/>
  <c r="F21" i="3"/>
  <c r="F23" i="3" s="1"/>
  <c r="G21" i="3" s="1"/>
  <c r="G23" i="3" s="1"/>
  <c r="H21" i="3" s="1"/>
  <c r="H23" i="3" s="1"/>
  <c r="G24" i="3"/>
  <c r="D32" i="3"/>
  <c r="C32" i="3"/>
  <c r="G26" i="5" l="1"/>
  <c r="F26" i="5"/>
  <c r="F24" i="3"/>
  <c r="H26" i="5"/>
  <c r="H24" i="3"/>
  <c r="I21" i="3"/>
  <c r="I23" i="3" s="1"/>
  <c r="D31" i="2"/>
  <c r="D32" i="2"/>
  <c r="C32" i="2"/>
  <c r="C31" i="2"/>
  <c r="D30" i="2"/>
  <c r="C30" i="2"/>
  <c r="D33" i="2"/>
  <c r="C33" i="2"/>
  <c r="D34" i="2"/>
  <c r="C34" i="2"/>
  <c r="C26" i="2"/>
  <c r="D10" i="3"/>
  <c r="D26" i="2" s="1"/>
  <c r="D25" i="2"/>
  <c r="C25" i="2"/>
  <c r="C13" i="5"/>
  <c r="D17" i="2"/>
  <c r="C17" i="2"/>
  <c r="D16" i="2"/>
  <c r="C16" i="2"/>
  <c r="D14" i="2"/>
  <c r="C14" i="2"/>
  <c r="D12" i="2"/>
  <c r="C12" i="2"/>
  <c r="C48" i="6"/>
  <c r="C46" i="6"/>
  <c r="F45" i="6"/>
  <c r="D45" i="6"/>
  <c r="F4" i="6"/>
  <c r="A1" i="6"/>
  <c r="D30" i="5"/>
  <c r="C30" i="5"/>
  <c r="D24" i="5"/>
  <c r="C24" i="5"/>
  <c r="D18" i="5"/>
  <c r="C18" i="5"/>
  <c r="D13" i="5"/>
  <c r="A1" i="5"/>
  <c r="D18" i="4"/>
  <c r="A1" i="4"/>
  <c r="A1" i="3"/>
  <c r="D28" i="2"/>
  <c r="C28" i="2"/>
  <c r="D24" i="2"/>
  <c r="C24" i="2"/>
  <c r="D23" i="2"/>
  <c r="C23" i="2"/>
  <c r="D20" i="2"/>
  <c r="C20" i="2"/>
  <c r="C18" i="2"/>
  <c r="D13" i="2"/>
  <c r="C13" i="2"/>
  <c r="D11" i="2"/>
  <c r="J10" i="2"/>
  <c r="I10" i="2"/>
  <c r="I5" i="6" s="1"/>
  <c r="H10" i="2"/>
  <c r="H7" i="5" s="1"/>
  <c r="G10" i="2"/>
  <c r="G7" i="4" s="1"/>
  <c r="F10" i="2"/>
  <c r="F7" i="5" s="1"/>
  <c r="E10" i="2"/>
  <c r="E7" i="5" s="1"/>
  <c r="D10" i="2"/>
  <c r="D7" i="5" s="1"/>
  <c r="C10" i="2"/>
  <c r="J8" i="2"/>
  <c r="I8" i="2"/>
  <c r="H8" i="2"/>
  <c r="G8" i="2"/>
  <c r="F8" i="2"/>
  <c r="E8" i="2"/>
  <c r="J7" i="2"/>
  <c r="I7" i="2"/>
  <c r="H7" i="2"/>
  <c r="G7" i="2"/>
  <c r="F7" i="2"/>
  <c r="E7" i="2"/>
  <c r="J5" i="2"/>
  <c r="I5" i="2"/>
  <c r="H5" i="2"/>
  <c r="G5" i="2"/>
  <c r="F5" i="2"/>
  <c r="E5" i="2"/>
  <c r="A1" i="2"/>
  <c r="A1" i="1"/>
  <c r="I26" i="5" l="1"/>
  <c r="I24" i="3"/>
  <c r="J21" i="3"/>
  <c r="J23" i="3" s="1"/>
  <c r="J26" i="5" s="1"/>
  <c r="G11" i="2"/>
  <c r="D7" i="4"/>
  <c r="D33" i="5"/>
  <c r="D19" i="5"/>
  <c r="C19" i="5"/>
  <c r="C11" i="4"/>
  <c r="C17" i="4" s="1"/>
  <c r="C22" i="4" s="1"/>
  <c r="E5" i="6"/>
  <c r="J11" i="2"/>
  <c r="E6" i="3"/>
  <c r="I6" i="3"/>
  <c r="H7" i="4"/>
  <c r="F11" i="2"/>
  <c r="I7" i="5"/>
  <c r="J5" i="6"/>
  <c r="J7" i="4"/>
  <c r="J7" i="5"/>
  <c r="J6" i="3"/>
  <c r="C7" i="5"/>
  <c r="C6" i="3"/>
  <c r="C7" i="4"/>
  <c r="F5" i="6"/>
  <c r="F7" i="4"/>
  <c r="F6" i="3"/>
  <c r="G5" i="6"/>
  <c r="G7" i="5"/>
  <c r="I11" i="2"/>
  <c r="G6" i="3"/>
  <c r="E11" i="2"/>
  <c r="E9" i="4" s="1"/>
  <c r="H11" i="2"/>
  <c r="E7" i="4"/>
  <c r="I7" i="4"/>
  <c r="D12" i="4"/>
  <c r="H5" i="6"/>
  <c r="D6" i="3"/>
  <c r="H6" i="3"/>
  <c r="C33" i="5"/>
  <c r="G4" i="6"/>
  <c r="E10" i="5" l="1"/>
  <c r="E10" i="4"/>
  <c r="E11" i="4" s="1"/>
  <c r="E23" i="5"/>
  <c r="E11" i="5"/>
  <c r="E27" i="5"/>
  <c r="E30" i="5" s="1"/>
  <c r="E22" i="5"/>
  <c r="E14" i="4"/>
  <c r="E12" i="5"/>
  <c r="E17" i="5"/>
  <c r="J24" i="3"/>
  <c r="F9" i="4"/>
  <c r="E10" i="3"/>
  <c r="E13" i="6" s="1"/>
  <c r="C34" i="5"/>
  <c r="D34" i="5"/>
  <c r="C12" i="4"/>
  <c r="H4" i="6"/>
  <c r="D23" i="4"/>
  <c r="C18" i="4"/>
  <c r="C27" i="4"/>
  <c r="F10" i="4" l="1"/>
  <c r="F10" i="5"/>
  <c r="F11" i="4"/>
  <c r="E16" i="6"/>
  <c r="E32" i="3"/>
  <c r="E17" i="6"/>
  <c r="G9" i="4"/>
  <c r="F27" i="5"/>
  <c r="F30" i="5" s="1"/>
  <c r="F22" i="5"/>
  <c r="F32" i="3" s="1"/>
  <c r="F14" i="4"/>
  <c r="F17" i="5"/>
  <c r="F12" i="5"/>
  <c r="F23" i="5"/>
  <c r="F11" i="5"/>
  <c r="E17" i="4"/>
  <c r="E12" i="4"/>
  <c r="H9" i="4"/>
  <c r="F10" i="3"/>
  <c r="F13" i="6" s="1"/>
  <c r="C23" i="4"/>
  <c r="I4" i="6"/>
  <c r="H10" i="4" l="1"/>
  <c r="H10" i="5"/>
  <c r="H11" i="4"/>
  <c r="G10" i="5"/>
  <c r="G10" i="4"/>
  <c r="G11" i="4"/>
  <c r="G10" i="3"/>
  <c r="G13" i="6" s="1"/>
  <c r="F15" i="6"/>
  <c r="E15" i="6"/>
  <c r="F16" i="6"/>
  <c r="F17" i="6"/>
  <c r="H22" i="5"/>
  <c r="H14" i="4"/>
  <c r="H17" i="5"/>
  <c r="H12" i="5"/>
  <c r="H23" i="5"/>
  <c r="H27" i="5"/>
  <c r="H30" i="5" s="1"/>
  <c r="H11" i="5"/>
  <c r="G27" i="5"/>
  <c r="G30" i="5" s="1"/>
  <c r="H17" i="6" s="1"/>
  <c r="G22" i="5"/>
  <c r="G14" i="4"/>
  <c r="G17" i="4" s="1"/>
  <c r="G12" i="5"/>
  <c r="G23" i="5"/>
  <c r="G11" i="5"/>
  <c r="G17" i="5"/>
  <c r="F12" i="4"/>
  <c r="F17" i="4"/>
  <c r="H10" i="3"/>
  <c r="H13" i="6" s="1"/>
  <c r="I9" i="4"/>
  <c r="G12" i="4"/>
  <c r="E18" i="4"/>
  <c r="C30" i="4"/>
  <c r="C19" i="2"/>
  <c r="J4" i="6"/>
  <c r="I10" i="5" l="1"/>
  <c r="I10" i="4"/>
  <c r="I11" i="4" s="1"/>
  <c r="H16" i="6"/>
  <c r="H32" i="3"/>
  <c r="G16" i="6"/>
  <c r="G17" i="6"/>
  <c r="I27" i="5"/>
  <c r="I30" i="5" s="1"/>
  <c r="I17" i="6" s="1"/>
  <c r="I14" i="4"/>
  <c r="I17" i="5"/>
  <c r="I12" i="5"/>
  <c r="I11" i="5"/>
  <c r="I22" i="5"/>
  <c r="I23" i="5"/>
  <c r="G32" i="3"/>
  <c r="H17" i="4"/>
  <c r="H12" i="4"/>
  <c r="G18" i="4"/>
  <c r="I10" i="3"/>
  <c r="I13" i="6" s="1"/>
  <c r="J9" i="4"/>
  <c r="F18" i="4"/>
  <c r="C33" i="4"/>
  <c r="J10" i="5" l="1"/>
  <c r="J10" i="4"/>
  <c r="J11" i="4" s="1"/>
  <c r="H15" i="6"/>
  <c r="G15" i="6"/>
  <c r="I16" i="6"/>
  <c r="I32" i="3"/>
  <c r="J23" i="5"/>
  <c r="J11" i="5"/>
  <c r="J27" i="5"/>
  <c r="J30" i="5" s="1"/>
  <c r="J17" i="6" s="1"/>
  <c r="J22" i="5"/>
  <c r="J17" i="5"/>
  <c r="J16" i="6" s="1"/>
  <c r="J14" i="4"/>
  <c r="J12" i="5"/>
  <c r="I17" i="4"/>
  <c r="I12" i="4"/>
  <c r="J10" i="3"/>
  <c r="J13" i="6" s="1"/>
  <c r="H18" i="4"/>
  <c r="C35" i="2"/>
  <c r="I15" i="6" l="1"/>
  <c r="J32" i="3"/>
  <c r="J15" i="6" s="1"/>
  <c r="J17" i="4"/>
  <c r="J12" i="4"/>
  <c r="I18" i="4"/>
  <c r="J18" i="4" l="1"/>
  <c r="D18" i="2" l="1"/>
  <c r="D27" i="4"/>
  <c r="D19" i="2" s="1"/>
  <c r="D30" i="4" l="1"/>
  <c r="D33" i="4" s="1"/>
  <c r="D35" i="2" s="1"/>
  <c r="E21" i="5" l="1"/>
  <c r="E24" i="5" s="1"/>
  <c r="F27" i="3"/>
  <c r="F29" i="3" s="1"/>
  <c r="F21" i="5" s="1"/>
  <c r="F24" i="5" s="1"/>
  <c r="E30" i="3"/>
  <c r="E26" i="4" s="1"/>
  <c r="F30" i="3"/>
  <c r="F26" i="4" s="1"/>
  <c r="G27" i="3" l="1"/>
  <c r="G29" i="3" s="1"/>
  <c r="G21" i="5" s="1"/>
  <c r="G24" i="5" s="1"/>
  <c r="G30" i="3" l="1"/>
  <c r="G26" i="4" s="1"/>
  <c r="H27" i="3"/>
  <c r="H29" i="3" s="1"/>
  <c r="H21" i="5" l="1"/>
  <c r="H24" i="5" s="1"/>
  <c r="I27" i="3"/>
  <c r="I29" i="3" s="1"/>
  <c r="H30" i="3"/>
  <c r="H26" i="4" s="1"/>
  <c r="I21" i="5" l="1"/>
  <c r="I24" i="5" s="1"/>
  <c r="J27" i="3"/>
  <c r="J29" i="3" s="1"/>
  <c r="J21" i="5" s="1"/>
  <c r="J24" i="5" s="1"/>
  <c r="I30" i="3"/>
  <c r="I26" i="4" s="1"/>
  <c r="J30" i="3" l="1"/>
  <c r="J26" i="4" s="1"/>
  <c r="G18" i="5" l="1"/>
  <c r="G15" i="5"/>
  <c r="F27" i="6"/>
  <c r="F18" i="6"/>
  <c r="F9" i="6"/>
  <c r="G27" i="6"/>
  <c r="G18" i="6"/>
  <c r="G9" i="6"/>
  <c r="C45" i="6"/>
  <c r="D37" i="6"/>
  <c r="D35" i="6"/>
  <c r="D32" i="6"/>
  <c r="E9" i="6"/>
  <c r="E18" i="6"/>
  <c r="E27" i="6"/>
  <c r="D30" i="6"/>
  <c r="I13" i="5"/>
  <c r="I19" i="5"/>
  <c r="I34" i="5"/>
  <c r="J29" i="4"/>
  <c r="F18" i="5"/>
  <c r="F15" i="5"/>
  <c r="J34" i="5"/>
  <c r="J19" i="5"/>
  <c r="J13" i="5"/>
  <c r="F29" i="4"/>
  <c r="G25" i="4"/>
  <c r="F11" i="6"/>
  <c r="E7" i="6"/>
  <c r="E8" i="6"/>
  <c r="D31" i="6"/>
  <c r="J24" i="6"/>
  <c r="J27" i="4"/>
  <c r="J30" i="4"/>
  <c r="J33" i="4"/>
  <c r="J16" i="3"/>
  <c r="J17" i="3"/>
  <c r="E11" i="6"/>
  <c r="E29" i="4"/>
  <c r="F34" i="5"/>
  <c r="F19" i="5"/>
  <c r="F13" i="5"/>
  <c r="I23" i="4"/>
  <c r="G17" i="3"/>
  <c r="G16" i="3"/>
  <c r="G33" i="4"/>
  <c r="G30" i="4"/>
  <c r="H34" i="5"/>
  <c r="H19" i="5"/>
  <c r="H13" i="5"/>
  <c r="H18" i="5"/>
  <c r="H15" i="5"/>
  <c r="G34" i="5"/>
  <c r="G32" i="5"/>
  <c r="G33" i="5"/>
  <c r="G9" i="5"/>
  <c r="G13" i="5"/>
  <c r="G19" i="5"/>
  <c r="J18" i="5"/>
  <c r="J15" i="5"/>
  <c r="J9" i="6"/>
  <c r="J18" i="6"/>
  <c r="J27" i="6"/>
  <c r="H29" i="4"/>
  <c r="I11" i="6"/>
  <c r="I29" i="4"/>
  <c r="E13" i="5"/>
  <c r="E19" i="5"/>
  <c r="E34" i="5"/>
  <c r="I18" i="5"/>
  <c r="I15" i="5"/>
  <c r="F7" i="6"/>
  <c r="F8" i="6"/>
  <c r="J7" i="6"/>
  <c r="J8" i="6"/>
  <c r="I8" i="6"/>
  <c r="J22" i="4"/>
  <c r="J23" i="4"/>
  <c r="J9" i="3"/>
  <c r="J12" i="3"/>
  <c r="J11" i="3"/>
  <c r="J20" i="4"/>
  <c r="J11" i="6"/>
  <c r="G23" i="4"/>
  <c r="H23" i="4"/>
  <c r="I27" i="4"/>
  <c r="I30" i="4"/>
  <c r="I33" i="4"/>
  <c r="I16" i="3"/>
  <c r="I17" i="3"/>
  <c r="H32" i="5"/>
  <c r="H33" i="5"/>
  <c r="H9" i="5"/>
  <c r="H25" i="4"/>
  <c r="H8" i="6"/>
  <c r="I9" i="3"/>
  <c r="I12" i="3"/>
  <c r="I11" i="3"/>
  <c r="I20" i="4"/>
  <c r="I22" i="4"/>
  <c r="I7" i="6"/>
  <c r="I9" i="6"/>
  <c r="I18" i="6"/>
  <c r="I27" i="6"/>
  <c r="G7" i="6"/>
  <c r="G8" i="6"/>
  <c r="H27" i="4"/>
  <c r="H30" i="4"/>
  <c r="H33" i="4"/>
  <c r="H16" i="3"/>
  <c r="H17" i="3"/>
  <c r="F32" i="5"/>
  <c r="F33" i="5"/>
  <c r="F9" i="5"/>
  <c r="F25" i="4"/>
  <c r="E17" i="3"/>
  <c r="I32" i="5"/>
  <c r="I33" i="5"/>
  <c r="I9" i="5"/>
  <c r="I25" i="4"/>
  <c r="F15" i="3"/>
  <c r="F18" i="3"/>
  <c r="G15" i="3"/>
  <c r="G18" i="3"/>
  <c r="H15" i="3"/>
  <c r="H18" i="3"/>
  <c r="I15" i="3"/>
  <c r="I18" i="3"/>
  <c r="J15" i="3"/>
  <c r="J18" i="3"/>
  <c r="J32" i="5"/>
  <c r="J33" i="5"/>
  <c r="J9" i="5"/>
  <c r="J25" i="4"/>
  <c r="E27" i="4"/>
  <c r="E30" i="4"/>
  <c r="E33" i="4"/>
  <c r="E16" i="3"/>
  <c r="E18" i="3"/>
  <c r="E32" i="5"/>
  <c r="E33" i="5"/>
  <c r="E9" i="5"/>
  <c r="E25" i="4"/>
  <c r="G11" i="6"/>
  <c r="H11" i="6"/>
  <c r="E20" i="4"/>
  <c r="E22" i="4"/>
  <c r="E23" i="4"/>
  <c r="G11" i="3"/>
  <c r="G20" i="4"/>
  <c r="G22" i="4"/>
  <c r="G27" i="4"/>
  <c r="G29" i="4"/>
  <c r="E15" i="5"/>
  <c r="E18" i="5"/>
  <c r="G9" i="3"/>
  <c r="G12" i="3"/>
  <c r="H9" i="3"/>
  <c r="H12" i="3"/>
  <c r="H11" i="3"/>
  <c r="H20" i="4"/>
  <c r="H22" i="4"/>
  <c r="H7" i="6"/>
  <c r="H9" i="6"/>
  <c r="H18" i="6"/>
  <c r="H27" i="6"/>
  <c r="F23" i="4"/>
  <c r="E11" i="3"/>
  <c r="E12" i="3"/>
  <c r="F9" i="3"/>
  <c r="F12" i="3"/>
  <c r="F11" i="3"/>
  <c r="F20" i="4"/>
  <c r="F22" i="4"/>
  <c r="F27" i="4"/>
  <c r="F30" i="4"/>
  <c r="F33" i="4"/>
  <c r="F16" i="3"/>
  <c r="F17" i="3"/>
</calcChain>
</file>

<file path=xl/sharedStrings.xml><?xml version="1.0" encoding="utf-8"?>
<sst xmlns="http://schemas.openxmlformats.org/spreadsheetml/2006/main" count="150" uniqueCount="124">
  <si>
    <t>Notes</t>
  </si>
  <si>
    <t>Company name</t>
  </si>
  <si>
    <t>Financials used</t>
  </si>
  <si>
    <t>Annual</t>
  </si>
  <si>
    <t>Date of financials</t>
  </si>
  <si>
    <t>Forecasts</t>
  </si>
  <si>
    <t>Training</t>
  </si>
  <si>
    <t>Currency</t>
  </si>
  <si>
    <t>GBP</t>
  </si>
  <si>
    <t>Tasks</t>
  </si>
  <si>
    <t>Forecast the financials of the company</t>
  </si>
  <si>
    <t>Build a free cash flow forecast</t>
  </si>
  <si>
    <t>Add a data table varying WACC and the long term growth rate by 0.5%, one variation up and one down</t>
  </si>
  <si>
    <t>Add a scenario analysis on sales growth, using the current forecast as base case. Vary upside case by +1%, downside case by -1%</t>
  </si>
  <si>
    <t>Upside</t>
  </si>
  <si>
    <t>Base case</t>
  </si>
  <si>
    <t>Downside</t>
  </si>
  <si>
    <t>Income statement</t>
  </si>
  <si>
    <t>Sales growth</t>
  </si>
  <si>
    <t>Cost of goods sold/sales</t>
  </si>
  <si>
    <t>Tax rate</t>
  </si>
  <si>
    <t>Balance sheet</t>
  </si>
  <si>
    <t>Accounts receivable/sales</t>
  </si>
  <si>
    <t>Inventories/sales</t>
  </si>
  <si>
    <t>Other current assets/sales</t>
  </si>
  <si>
    <t>Other long term assets/sales</t>
  </si>
  <si>
    <t>Accounts payable/sales</t>
  </si>
  <si>
    <t>Other current liabilities/sales</t>
  </si>
  <si>
    <t>Other LT liabiities/sales</t>
  </si>
  <si>
    <t>Dividend payout ratio</t>
  </si>
  <si>
    <t>Debt assumptions</t>
  </si>
  <si>
    <t>Long term debt repayment (borrowings)</t>
  </si>
  <si>
    <t>Short term debt repayment</t>
  </si>
  <si>
    <t>Long term debt interest rate</t>
  </si>
  <si>
    <t>Short term debt interest rate</t>
  </si>
  <si>
    <t>PP&amp;E</t>
  </si>
  <si>
    <t>Beginning balance</t>
  </si>
  <si>
    <t>Capex</t>
  </si>
  <si>
    <t>Depreciation</t>
  </si>
  <si>
    <t>Ending balance</t>
  </si>
  <si>
    <t>Equity</t>
  </si>
  <si>
    <t>Net income</t>
  </si>
  <si>
    <t>Dividends</t>
  </si>
  <si>
    <t>Long term debt</t>
  </si>
  <si>
    <t>Interest expense</t>
  </si>
  <si>
    <t>Short term debt</t>
  </si>
  <si>
    <t>Working capital (for DCF)</t>
  </si>
  <si>
    <t>Sales</t>
  </si>
  <si>
    <t>COGS excl dep'n &amp; amort'n</t>
  </si>
  <si>
    <t>Gross profit</t>
  </si>
  <si>
    <t>Margin</t>
  </si>
  <si>
    <t>EBITDA</t>
  </si>
  <si>
    <t>Amortisation and impairment</t>
  </si>
  <si>
    <t>EBIT</t>
  </si>
  <si>
    <t>Interest income</t>
  </si>
  <si>
    <t>Profit before tax</t>
  </si>
  <si>
    <t>Tax</t>
  </si>
  <si>
    <t>Profit after tax</t>
  </si>
  <si>
    <t>Extraordinary items</t>
  </si>
  <si>
    <t>Cash and short term investments</t>
  </si>
  <si>
    <t>Accounts receivable</t>
  </si>
  <si>
    <t>Inventories</t>
  </si>
  <si>
    <t>Other current assets</t>
  </si>
  <si>
    <t>Total current assets</t>
  </si>
  <si>
    <t>Goodwill and intangible assets</t>
  </si>
  <si>
    <t>Other long term assets</t>
  </si>
  <si>
    <t>Total long term assets</t>
  </si>
  <si>
    <t>Total assets</t>
  </si>
  <si>
    <t>Accounts payable</t>
  </si>
  <si>
    <t>Other current liabilities</t>
  </si>
  <si>
    <t>Total current liabilities</t>
  </si>
  <si>
    <t>Total long term liabilities</t>
  </si>
  <si>
    <t>Shareholders' equity</t>
  </si>
  <si>
    <t>Total L&amp;E</t>
  </si>
  <si>
    <t>Balance check</t>
  </si>
  <si>
    <t>Tax on EBIT</t>
  </si>
  <si>
    <t>NOPAT</t>
  </si>
  <si>
    <t xml:space="preserve"> +Depreciation</t>
  </si>
  <si>
    <t xml:space="preserve"> +Amortisation</t>
  </si>
  <si>
    <t xml:space="preserve"> -Increase in working capital</t>
  </si>
  <si>
    <t xml:space="preserve"> -Increase in other long term assets</t>
  </si>
  <si>
    <t xml:space="preserve"> + Increase in LT liabilities excl debt</t>
  </si>
  <si>
    <t>Free cash flow</t>
  </si>
  <si>
    <t>WACC</t>
  </si>
  <si>
    <t>Long term growth rate</t>
  </si>
  <si>
    <t>Terminal value</t>
  </si>
  <si>
    <t>Discount factor</t>
  </si>
  <si>
    <t>PV of FCF</t>
  </si>
  <si>
    <t>PV of FCF yr 1 - 6</t>
  </si>
  <si>
    <t>PV of TV</t>
  </si>
  <si>
    <t>Enterprise value</t>
  </si>
  <si>
    <t xml:space="preserve"> -Debt</t>
  </si>
  <si>
    <t xml:space="preserve"> +Cash</t>
  </si>
  <si>
    <t>Equity value</t>
  </si>
  <si>
    <t>Implied price per share</t>
  </si>
  <si>
    <t>Data table</t>
  </si>
  <si>
    <t>WACC variation</t>
  </si>
  <si>
    <t>G variation</t>
  </si>
  <si>
    <t>Growth rate</t>
  </si>
  <si>
    <t>Administration</t>
  </si>
  <si>
    <t>Other operating income pre OP</t>
  </si>
  <si>
    <t>Other LT liabilities</t>
  </si>
  <si>
    <t>Provisions for liabilities</t>
  </si>
  <si>
    <t>Pension liabilities</t>
  </si>
  <si>
    <t>Administration/sales</t>
  </si>
  <si>
    <t>Interest income/end-year cash and ST inv</t>
  </si>
  <si>
    <t>Capex/sales</t>
  </si>
  <si>
    <t>Depreciation/year end PP&amp;E</t>
  </si>
  <si>
    <t>Amortisation and impairment/year end Intangibles</t>
  </si>
  <si>
    <t>(Repayment)/increase in debt</t>
  </si>
  <si>
    <t xml:space="preserve"> -Capital expenditure</t>
  </si>
  <si>
    <t xml:space="preserve"> -Purchase of intangibles</t>
  </si>
  <si>
    <t>Assume a long term growth rate of 1.0%</t>
  </si>
  <si>
    <t>Assume a WACC of 8%</t>
  </si>
  <si>
    <t>BELLWAY P L C</t>
  </si>
  <si>
    <t xml:space="preserve">Exceptional items pre OP </t>
  </si>
  <si>
    <t>Other operating income £th</t>
  </si>
  <si>
    <t>Exceptional items pre OP £th</t>
  </si>
  <si>
    <t>Extraordinary items £th</t>
  </si>
  <si>
    <t>Goodwill and intangible assets £th</t>
  </si>
  <si>
    <t>Provision for liabilities £th</t>
  </si>
  <si>
    <t>Pension liabilities £th</t>
  </si>
  <si>
    <t>Shares outstanding (th)</t>
  </si>
  <si>
    <t>Perform the DCF analysis of the company and calculate the implied price per share. Number of shares =119,450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</si>
</sst>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0.0_);\(#,##0.0\)"/>
    <numFmt numFmtId="165" formatCode="#,##0_);\(#,##0\)"/>
    <numFmt numFmtId="166" formatCode="0.0%_);\(0.0%\)"/>
    <numFmt numFmtId="167" formatCode="_-* #,##0.0_-;\-* #,##0.0_-;_-* &quot;-&quot;??_-;_-@"/>
    <numFmt numFmtId="168" formatCode="yyyy\A"/>
    <numFmt numFmtId="169" formatCode="yyyy\F"/>
    <numFmt numFmtId="170" formatCode="#,##0.00_);\(#,##0.00\)"/>
    <numFmt numFmtId="171" formatCode="0.0%"/>
    <numFmt numFmtId="172" formatCode="_-* #,##0.0_-;\-* #,##0.0_-;_-* &quot;-&quot;??_-;_-@_-"/>
    <numFmt numFmtId="173" formatCode="#,##0.0_ ;\-#,##0.0\ "/>
  </numFmts>
  <fonts count="10" x14ac:knownFonts="1">
    <font>
      <sz val="10"/>
      <color theme="1"/>
      <name val="Arial"/>
      <scheme val="minor"/>
    </font>
    <font>
      <b/>
      <sz val="12"/>
      <color theme="0"/>
      <name val="Arial"/>
      <family val="2"/>
    </font>
    <font>
      <b/>
      <i/>
      <sz val="10"/>
      <color theme="0"/>
      <name val="Arial"/>
      <family val="2"/>
    </font>
    <font>
      <sz val="10"/>
      <color theme="1"/>
      <name val="Arial"/>
      <family val="2"/>
      <scheme val="minor"/>
    </font>
    <font>
      <sz val="10"/>
      <color rgb="FF0000FF"/>
      <name val="Arial"/>
      <family val="2"/>
    </font>
    <font>
      <b/>
      <sz val="10"/>
      <color theme="1"/>
      <name val="Arial"/>
      <family val="2"/>
    </font>
    <font>
      <sz val="10"/>
      <color theme="1"/>
      <name val="Arial"/>
      <family val="2"/>
    </font>
    <font>
      <i/>
      <sz val="10"/>
      <color theme="1"/>
      <name val="Arial"/>
      <family val="2"/>
    </font>
    <font>
      <sz val="10"/>
      <color rgb="FFBFBFBF"/>
      <name val="Arial"/>
      <family val="2"/>
    </font>
    <font>
      <sz val="10"/>
      <color theme="1"/>
      <name val="Arial"/>
      <family val="2"/>
      <scheme val="minor"/>
    </font>
  </fonts>
  <fills count="4">
    <fill>
      <patternFill patternType="none"/>
    </fill>
    <fill>
      <patternFill patternType="gray125"/>
    </fill>
    <fill>
      <patternFill patternType="solid">
        <fgColor rgb="FF5D6D85"/>
        <bgColor rgb="FF5D6D85"/>
      </patternFill>
    </fill>
    <fill>
      <patternFill patternType="solid">
        <fgColor rgb="FFD8D8D8"/>
        <bgColor rgb="FFD8D8D8"/>
      </patternFill>
    </fill>
  </fills>
  <borders count="4">
    <border>
      <left/>
      <right/>
      <top/>
      <bottom/>
      <diagonal/>
    </border>
    <border>
      <left/>
      <right/>
      <top/>
      <bottom/>
      <diagonal/>
    </border>
    <border>
      <left/>
      <right/>
      <top/>
      <bottom style="thin">
        <color rgb="FF000000"/>
      </bottom>
      <diagonal/>
    </border>
    <border>
      <left/>
      <right style="thin">
        <color rgb="FF000000"/>
      </right>
      <top/>
      <bottom/>
      <diagonal/>
    </border>
  </borders>
  <cellStyleXfs count="6">
    <xf numFmtId="164" fontId="0" fillId="0" borderId="0"/>
    <xf numFmtId="43" fontId="9" fillId="0" borderId="0" applyFont="0" applyFill="0" applyBorder="0" applyAlignment="0" applyProtection="0"/>
    <xf numFmtId="9" fontId="9" fillId="0" borderId="0" applyFont="0" applyFill="0" applyBorder="0" applyAlignment="0" applyProtection="0"/>
    <xf numFmtId="164" fontId="3" fillId="0" borderId="1"/>
    <xf numFmtId="43" fontId="3" fillId="0" borderId="1" applyFont="0" applyFill="0" applyBorder="0" applyAlignment="0" applyProtection="0"/>
    <xf numFmtId="9" fontId="3" fillId="0" borderId="1" applyFont="0" applyFill="0" applyBorder="0" applyAlignment="0" applyProtection="0"/>
  </cellStyleXfs>
  <cellXfs count="57">
    <xf numFmtId="164" fontId="0" fillId="0" borderId="0" xfId="0"/>
    <xf numFmtId="164" fontId="1" fillId="2" borderId="1" xfId="0" applyFont="1" applyFill="1" applyBorder="1"/>
    <xf numFmtId="164" fontId="2" fillId="2" borderId="1" xfId="0" applyFont="1" applyFill="1" applyBorder="1"/>
    <xf numFmtId="0" fontId="3" fillId="0" borderId="0" xfId="0" applyNumberFormat="1" applyFont="1"/>
    <xf numFmtId="164" fontId="4" fillId="0" borderId="0" xfId="0" applyFont="1" applyAlignment="1">
      <alignment horizontal="right"/>
    </xf>
    <xf numFmtId="0" fontId="4" fillId="0" borderId="0" xfId="0" applyNumberFormat="1" applyFont="1" applyAlignment="1">
      <alignment horizontal="right"/>
    </xf>
    <xf numFmtId="164" fontId="5" fillId="0" borderId="0" xfId="0" applyFont="1"/>
    <xf numFmtId="165" fontId="6" fillId="0" borderId="0" xfId="0" applyNumberFormat="1" applyFont="1"/>
    <xf numFmtId="164" fontId="5" fillId="0" borderId="0" xfId="0" applyFont="1" applyAlignment="1">
      <alignment horizontal="right"/>
    </xf>
    <xf numFmtId="165" fontId="5" fillId="0" borderId="0" xfId="0" applyNumberFormat="1" applyFont="1"/>
    <xf numFmtId="0" fontId="5" fillId="0" borderId="0" xfId="0" applyNumberFormat="1" applyFont="1" applyAlignment="1">
      <alignment horizontal="center"/>
    </xf>
    <xf numFmtId="166" fontId="4" fillId="3" borderId="1" xfId="0" applyNumberFormat="1" applyFont="1" applyFill="1" applyBorder="1"/>
    <xf numFmtId="166" fontId="6" fillId="0" borderId="0" xfId="0" applyNumberFormat="1" applyFont="1"/>
    <xf numFmtId="164" fontId="3" fillId="0" borderId="0" xfId="0" applyFont="1"/>
    <xf numFmtId="164" fontId="4" fillId="3" borderId="1" xfId="0" applyFont="1" applyFill="1" applyBorder="1"/>
    <xf numFmtId="166" fontId="6" fillId="0" borderId="0" xfId="0" applyNumberFormat="1" applyFont="1" applyAlignment="1">
      <alignment horizontal="right"/>
    </xf>
    <xf numFmtId="167" fontId="4" fillId="3" borderId="1" xfId="0" applyNumberFormat="1" applyFont="1" applyFill="1" applyBorder="1"/>
    <xf numFmtId="164" fontId="6" fillId="0" borderId="0" xfId="0" applyFont="1" applyAlignment="1">
      <alignment wrapText="1"/>
    </xf>
    <xf numFmtId="168" fontId="5" fillId="0" borderId="0" xfId="0" applyNumberFormat="1" applyFont="1" applyAlignment="1">
      <alignment horizontal="center"/>
    </xf>
    <xf numFmtId="169" fontId="5" fillId="0" borderId="0" xfId="0" applyNumberFormat="1" applyFont="1" applyAlignment="1">
      <alignment horizontal="center"/>
    </xf>
    <xf numFmtId="164" fontId="4" fillId="0" borderId="0" xfId="0" applyFont="1"/>
    <xf numFmtId="164" fontId="6" fillId="0" borderId="0" xfId="0" applyFont="1"/>
    <xf numFmtId="164" fontId="5" fillId="0" borderId="0" xfId="0" applyFont="1" applyAlignment="1">
      <alignment horizontal="left"/>
    </xf>
    <xf numFmtId="164" fontId="5" fillId="0" borderId="0" xfId="0" applyFont="1" applyAlignment="1">
      <alignment horizontal="center"/>
    </xf>
    <xf numFmtId="164" fontId="6" fillId="0" borderId="0" xfId="0" applyFont="1" applyAlignment="1">
      <alignment horizontal="center"/>
    </xf>
    <xf numFmtId="168" fontId="5" fillId="0" borderId="0" xfId="0" applyNumberFormat="1" applyFont="1"/>
    <xf numFmtId="169" fontId="5" fillId="0" borderId="0" xfId="0" applyNumberFormat="1" applyFont="1"/>
    <xf numFmtId="164" fontId="7" fillId="0" borderId="0" xfId="0" applyFont="1"/>
    <xf numFmtId="166" fontId="7" fillId="0" borderId="0" xfId="0" applyNumberFormat="1" applyFont="1"/>
    <xf numFmtId="167" fontId="3" fillId="0" borderId="0" xfId="0" applyNumberFormat="1" applyFont="1"/>
    <xf numFmtId="166" fontId="4" fillId="0" borderId="0" xfId="0" applyNumberFormat="1" applyFont="1"/>
    <xf numFmtId="170" fontId="6" fillId="0" borderId="0" xfId="0" applyNumberFormat="1" applyFont="1"/>
    <xf numFmtId="170" fontId="5" fillId="0" borderId="0" xfId="0" applyNumberFormat="1" applyFont="1"/>
    <xf numFmtId="171" fontId="4" fillId="0" borderId="0" xfId="0" applyNumberFormat="1" applyFont="1"/>
    <xf numFmtId="164" fontId="6" fillId="0" borderId="0" xfId="0" applyFont="1" applyAlignment="1">
      <alignment horizontal="left"/>
    </xf>
    <xf numFmtId="170" fontId="8" fillId="0" borderId="0" xfId="0" applyNumberFormat="1" applyFont="1"/>
    <xf numFmtId="171" fontId="6" fillId="0" borderId="2" xfId="0" applyNumberFormat="1" applyFont="1" applyBorder="1"/>
    <xf numFmtId="171" fontId="4" fillId="0" borderId="2" xfId="0" applyNumberFormat="1" applyFont="1" applyBorder="1"/>
    <xf numFmtId="171" fontId="6" fillId="0" borderId="3" xfId="0" applyNumberFormat="1" applyFont="1" applyBorder="1"/>
    <xf numFmtId="164" fontId="6" fillId="0" borderId="0" xfId="0" applyFont="1" applyAlignment="1">
      <alignment horizontal="right"/>
    </xf>
    <xf numFmtId="171" fontId="4" fillId="0" borderId="3" xfId="0" applyNumberFormat="1" applyFont="1" applyBorder="1"/>
    <xf numFmtId="165" fontId="6" fillId="0" borderId="0" xfId="0" applyNumberFormat="1" applyFont="1" applyAlignment="1">
      <alignment horizontal="center"/>
    </xf>
    <xf numFmtId="172" fontId="4" fillId="0" borderId="0" xfId="1" applyNumberFormat="1" applyFont="1"/>
    <xf numFmtId="171" fontId="0" fillId="0" borderId="0" xfId="2" applyNumberFormat="1" applyFont="1"/>
    <xf numFmtId="165" fontId="4" fillId="0" borderId="0" xfId="0" applyNumberFormat="1" applyFont="1"/>
    <xf numFmtId="173" fontId="4" fillId="3" borderId="1" xfId="0" applyNumberFormat="1" applyFont="1" applyFill="1" applyBorder="1"/>
    <xf numFmtId="164" fontId="4" fillId="3" borderId="1" xfId="3" applyFont="1" applyFill="1" applyBorder="1"/>
    <xf numFmtId="164" fontId="4" fillId="3" borderId="1" xfId="3" applyFont="1" applyFill="1" applyBorder="1"/>
    <xf numFmtId="166" fontId="4" fillId="3" borderId="1" xfId="3" applyNumberFormat="1" applyFont="1" applyFill="1" applyBorder="1"/>
    <xf numFmtId="166" fontId="4" fillId="3" borderId="1" xfId="3" applyNumberFormat="1" applyFont="1" applyFill="1" applyBorder="1"/>
    <xf numFmtId="164" fontId="4" fillId="0" borderId="1" xfId="3" applyFont="1"/>
    <xf numFmtId="164" fontId="4" fillId="0" borderId="1" xfId="3" applyFont="1"/>
    <xf numFmtId="164" fontId="4" fillId="0" borderId="0" xfId="0" applyNumberFormat="1" applyFont="1"/>
    <xf numFmtId="164" fontId="3" fillId="0" borderId="0" xfId="0" applyNumberFormat="1" applyFont="1"/>
    <xf numFmtId="164" fontId="6" fillId="0" borderId="0" xfId="0" applyNumberFormat="1" applyFont="1"/>
    <xf numFmtId="2" fontId="3" fillId="0" borderId="0" xfId="0" applyNumberFormat="1" applyFont="1"/>
    <xf numFmtId="170" fontId="0" fillId="0" borderId="0" xfId="0" applyNumberFormat="1"/>
  </cellXfs>
  <cellStyles count="6">
    <cellStyle name="Comma" xfId="1" builtinId="3"/>
    <cellStyle name="Comma 2" xfId="4" xr:uid="{0725D34A-F625-4FEE-BE55-0EC20F2C9DF7}"/>
    <cellStyle name="Normal" xfId="0" builtinId="0"/>
    <cellStyle name="Normal 2" xfId="3" xr:uid="{2D52EB49-FE82-41E5-A572-E4998C37F3A6}"/>
    <cellStyle name="Per cent 2" xfId="5" xr:uid="{860DAA4B-5D39-4320-BDFA-2C7ECB5AC45B}"/>
    <cellStyle name="Percent" xfId="2" builtinId="5"/>
  </cellStyles>
  <dxfs count="0"/>
  <tableStyles count="0" defaultTableStyle="TableStyleMedium2" defaultPivotStyle="PivotStyleLight16"/>
  <colors>
    <mruColors>
      <color rgb="FF0000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11</xdr:col>
      <xdr:colOff>387350</xdr:colOff>
      <xdr:row>5</xdr:row>
      <xdr:rowOff>88900</xdr:rowOff>
    </xdr:from>
    <xdr:to>
      <xdr:col>21</xdr:col>
      <xdr:colOff>355600</xdr:colOff>
      <xdr:row>52</xdr:row>
      <xdr:rowOff>107950</xdr:rowOff>
    </xdr:to>
    <xdr:sp macro="" textlink="">
      <xdr:nvSpPr>
        <xdr:cNvPr id="2" name="TextBox 1">
          <a:extLst>
            <a:ext uri="{FF2B5EF4-FFF2-40B4-BE49-F238E27FC236}">
              <a16:creationId xmlns:a16="http://schemas.microsoft.com/office/drawing/2014/main" id="{84C83ED0-7B2F-427B-A532-FF8144868A3F}"/>
            </a:ext>
          </a:extLst>
        </xdr:cNvPr>
        <xdr:cNvSpPr txBox="1"/>
      </xdr:nvSpPr>
      <xdr:spPr>
        <a:xfrm>
          <a:off x="10039350" y="882650"/>
          <a:ext cx="5937250" cy="7480300"/>
        </a:xfrm>
        <a:prstGeom prst="rect">
          <a:avLst/>
        </a:prstGeom>
        <a:solidFill>
          <a:schemeClr val="accent1">
            <a:lumMod val="60000"/>
            <a:lumOff val="40000"/>
          </a:schemeClr>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GB" sz="1100"/>
        </a:p>
        <a:p>
          <a:r>
            <a:rPr lang="en-GB" sz="1100" b="1"/>
            <a:t>Analysis</a:t>
          </a:r>
        </a:p>
        <a:p>
          <a:endParaRPr lang="en-GB" sz="1100"/>
        </a:p>
        <a:p>
          <a:r>
            <a:rPr lang="en-GB" sz="1100">
              <a:solidFill>
                <a:schemeClr val="dk1"/>
              </a:solidFill>
              <a:effectLst/>
              <a:latin typeface="+mn-lt"/>
              <a:ea typeface="+mn-ea"/>
              <a:cs typeface="+mn-cs"/>
            </a:rPr>
            <a:t>Based in Newcastle upon Tyne, England, Bellway PLC is a developer and builder of residential real estate. Bellway can improve in the following areas as follows: After analysing Bellway’s balance sheet, In 2023 the sales were £3,406,600 and in 2024 £3,474,732, the sales growth has been stagnant at 2%. Bellway is a great provider of private homes, but to serve a larger spectrum of customers, they might consider growing into the rental market or adding more options for more economical living. Improvements in sales lead to an increase in market share growth and expansion opportunities. Adapting to new technology by improving purchasing digital project management technologies or modular building can expedite the building process and possibly shorten build timelines. Offering incentive programmes can be encouraged by providing alluring benefits like mortgage rebates, deposit assistance, or improved finishes during the purchasing process. The Other current assets</a:t>
          </a:r>
          <a:r>
            <a:rPr lang="en-GB" sz="1100" b="1">
              <a:solidFill>
                <a:schemeClr val="dk1"/>
              </a:solidFill>
              <a:effectLst/>
              <a:latin typeface="+mn-lt"/>
              <a:ea typeface="+mn-ea"/>
              <a:cs typeface="+mn-cs"/>
            </a:rPr>
            <a:t> </a:t>
          </a:r>
          <a:r>
            <a:rPr lang="en-GB" sz="1100">
              <a:solidFill>
                <a:schemeClr val="dk1"/>
              </a:solidFill>
              <a:effectLst/>
              <a:latin typeface="+mn-lt"/>
              <a:ea typeface="+mn-ea"/>
              <a:cs typeface="+mn-cs"/>
            </a:rPr>
            <a:t>have been decreased comparatively in 2022, Bellway might deliberately pay some bills in advance, such as rent or insurance fees, when there are sales or low interest rates. Intelligent short-term investment in high-quality, liquid assets could improve liquidity management and money accessibility. Accounts receivable can be improved by putting in place effective procedures for collecting money from purchasers, you can guarantee quicker payments, which will raise and maintain the number of receivables in other current assets. It shouldn't be the main objective just to inflate other existing assets. Optimising the balance sheet for future growth and general financial health should be the main priority. The interest income assumption is also been stagnant after 2022 at 3%. To overcome this Bellway can explore short and medium-term investments like treasury bills and corporate bonds with higher yields than savings accounts. Using a well-established financial institution to obtain better deposit and investment interest rates. Evaluate investment risks, notably credit and interest rate weakness. Bellway can use economic indicators that affect the interest rates such as policy by central banks and inflations which may arise. Bellway can seek the highest financial institution rates and reassess the chances to optimize earnings. The interest income improvements depend not only on internal management but also the external economic conditions. Bellway can also compare investment performance against benchmarks to uncover underperformance and alter strategy. Bellway may explore inter-company lending within its subsidiaries or linked companies at greater rates than external banks. Bellway’s long-term asset assumptions were consistently 0.5 over the years and in 2022 the long-term current asset was £20,600 and it has decreased to £19,189 in 2029. Bellway can overcome this by investing in capital improvements like updating facilities or buying new technologies to increase asset value or lifespan. Bellway can also lease their which is unused land and buildings to generate extra revenue. Bellway should use the depreciation strategically to maximise the tax savings and cash flow which can be re-invested to grow the asset value.</a:t>
          </a:r>
          <a:endParaRPr lang="en-GB"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abSelected="1" workbookViewId="0">
      <selection activeCell="I18" sqref="I18"/>
    </sheetView>
  </sheetViews>
  <sheetFormatPr defaultColWidth="12.6640625" defaultRowHeight="15" customHeight="1" x14ac:dyDescent="0.25"/>
  <cols>
    <col min="1" max="1" width="3.33203125" customWidth="1"/>
    <col min="2" max="2" width="43.33203125" customWidth="1"/>
    <col min="3" max="3" width="20" customWidth="1"/>
    <col min="4" max="9" width="11.6640625" customWidth="1"/>
    <col min="10" max="26" width="8.6640625" customWidth="1"/>
  </cols>
  <sheetData>
    <row r="1" spans="1:10" ht="12.75" customHeight="1" x14ac:dyDescent="0.3">
      <c r="A1" s="1" t="str">
        <f>company&amp;" Model"</f>
        <v>BELLWAY P L C Model</v>
      </c>
      <c r="B1" s="1"/>
      <c r="C1" s="1"/>
      <c r="D1" s="1"/>
      <c r="E1" s="1"/>
      <c r="F1" s="1"/>
      <c r="G1" s="1"/>
      <c r="H1" s="1"/>
      <c r="I1" s="1"/>
      <c r="J1" s="1"/>
    </row>
    <row r="2" spans="1:10" ht="12.75" customHeight="1" x14ac:dyDescent="0.3">
      <c r="A2" s="2" t="s">
        <v>0</v>
      </c>
      <c r="B2" s="1"/>
      <c r="C2" s="1"/>
      <c r="D2" s="1"/>
      <c r="E2" s="1"/>
      <c r="F2" s="1"/>
      <c r="G2" s="1"/>
      <c r="H2" s="1"/>
      <c r="I2" s="1"/>
      <c r="J2" s="1"/>
    </row>
    <row r="3" spans="1:10" ht="12.75" customHeight="1" x14ac:dyDescent="0.25"/>
    <row r="4" spans="1:10" ht="12.75" customHeight="1" x14ac:dyDescent="0.25">
      <c r="B4" s="3" t="s">
        <v>1</v>
      </c>
      <c r="C4" s="4" t="s">
        <v>114</v>
      </c>
    </row>
    <row r="5" spans="1:10" ht="12.75" customHeight="1" x14ac:dyDescent="0.25">
      <c r="B5" s="3" t="s">
        <v>2</v>
      </c>
      <c r="C5" s="4" t="s">
        <v>3</v>
      </c>
    </row>
    <row r="6" spans="1:10" ht="12.75" customHeight="1" x14ac:dyDescent="0.25">
      <c r="B6" s="3" t="s">
        <v>4</v>
      </c>
      <c r="C6" s="5">
        <v>2023</v>
      </c>
    </row>
    <row r="7" spans="1:10" ht="12.75" customHeight="1" x14ac:dyDescent="0.25">
      <c r="B7" s="3" t="s">
        <v>5</v>
      </c>
      <c r="C7" s="4" t="s">
        <v>6</v>
      </c>
    </row>
    <row r="8" spans="1:10" ht="12.75" customHeight="1" x14ac:dyDescent="0.25">
      <c r="B8" s="3" t="s">
        <v>7</v>
      </c>
      <c r="C8" s="4" t="s">
        <v>8</v>
      </c>
    </row>
    <row r="9" spans="1:10" ht="12.75" customHeight="1" x14ac:dyDescent="0.25"/>
    <row r="10" spans="1:10" ht="12.75" customHeight="1" x14ac:dyDescent="0.25"/>
    <row r="11" spans="1:10" ht="12.75" customHeight="1" x14ac:dyDescent="0.25">
      <c r="B11" s="6" t="s">
        <v>9</v>
      </c>
    </row>
    <row r="12" spans="1:10" ht="12.75" customHeight="1" x14ac:dyDescent="0.25">
      <c r="A12" s="7">
        <v>1</v>
      </c>
      <c r="B12" s="3" t="s">
        <v>10</v>
      </c>
    </row>
    <row r="13" spans="1:10" ht="12.75" customHeight="1" x14ac:dyDescent="0.25">
      <c r="A13" s="7">
        <v>2</v>
      </c>
      <c r="B13" s="3" t="s">
        <v>11</v>
      </c>
    </row>
    <row r="14" spans="1:10" ht="12.75" customHeight="1" x14ac:dyDescent="0.25">
      <c r="A14" s="7">
        <v>3</v>
      </c>
      <c r="B14" s="3" t="s">
        <v>113</v>
      </c>
    </row>
    <row r="15" spans="1:10" ht="12.75" customHeight="1" x14ac:dyDescent="0.25">
      <c r="A15" s="7">
        <v>4</v>
      </c>
      <c r="B15" s="3" t="s">
        <v>112</v>
      </c>
    </row>
    <row r="16" spans="1:10" ht="12.75" customHeight="1" x14ac:dyDescent="0.25">
      <c r="A16" s="7">
        <v>5</v>
      </c>
      <c r="B16" s="3" t="s">
        <v>123</v>
      </c>
    </row>
    <row r="17" spans="1:3" ht="12.75" customHeight="1" x14ac:dyDescent="0.25">
      <c r="A17" s="7">
        <v>6</v>
      </c>
      <c r="B17" s="3" t="s">
        <v>12</v>
      </c>
    </row>
    <row r="18" spans="1:3" ht="12.75" customHeight="1" x14ac:dyDescent="0.25">
      <c r="A18" s="7">
        <v>7</v>
      </c>
      <c r="B18" s="3" t="s">
        <v>13</v>
      </c>
    </row>
    <row r="19" spans="1:3" ht="12.75" customHeight="1" x14ac:dyDescent="0.25"/>
    <row r="20" spans="1:3" ht="12.75" customHeight="1" x14ac:dyDescent="0.25"/>
    <row r="21" spans="1:3" ht="12.75" customHeight="1" x14ac:dyDescent="0.25">
      <c r="B21" s="6"/>
      <c r="C21" s="8"/>
    </row>
    <row r="22" spans="1:3" ht="12.75" customHeight="1" x14ac:dyDescent="0.25">
      <c r="C22" s="7"/>
    </row>
    <row r="23" spans="1:3" ht="12.75" customHeight="1" x14ac:dyDescent="0.25">
      <c r="C23" s="7"/>
    </row>
    <row r="24" spans="1:3" ht="12.75" customHeight="1" x14ac:dyDescent="0.25">
      <c r="C24" s="7"/>
    </row>
    <row r="25" spans="1:3" ht="12.75" customHeight="1" x14ac:dyDescent="0.25">
      <c r="C25" s="7"/>
    </row>
    <row r="26" spans="1:3" ht="12.75" customHeight="1" x14ac:dyDescent="0.25">
      <c r="A26" s="6"/>
      <c r="B26" s="6"/>
      <c r="C26" s="9"/>
    </row>
    <row r="27" spans="1:3" ht="12.75" customHeight="1" x14ac:dyDescent="0.25"/>
    <row r="28" spans="1:3" ht="12.75" customHeight="1" x14ac:dyDescent="0.25"/>
    <row r="29" spans="1:3" ht="12.75" customHeight="1" x14ac:dyDescent="0.25"/>
    <row r="30" spans="1:3" ht="12.75" customHeight="1" x14ac:dyDescent="0.25"/>
    <row r="31" spans="1:3" ht="12.75" customHeight="1" x14ac:dyDescent="0.25"/>
    <row r="32" spans="1:3"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0866141732283472" right="0.70866141732283472" top="0.74803149606299213" bottom="0.74803149606299213" header="0" footer="0"/>
  <pageSetup paperSize="9" scale="61" orientation="portrait"/>
  <headerFooter>
    <oddHeader>&amp;L© ACW Consulting 2016&amp;R&amp;F</oddHeader>
    <oddFooter>&amp;L© ACW Consulting 2016&amp;R&amp;F&amp;A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99"/>
  <sheetViews>
    <sheetView zoomScale="111" zoomScaleNormal="120" workbookViewId="0">
      <selection activeCell="D11" sqref="D11"/>
    </sheetView>
  </sheetViews>
  <sheetFormatPr defaultColWidth="12.6640625" defaultRowHeight="15" customHeight="1" x14ac:dyDescent="0.25"/>
  <cols>
    <col min="1" max="1" width="1.6640625" customWidth="1"/>
    <col min="2" max="2" width="37" customWidth="1"/>
    <col min="3" max="10" width="11.6640625" customWidth="1"/>
    <col min="11" max="26" width="8.6640625" customWidth="1"/>
  </cols>
  <sheetData>
    <row r="1" spans="1:10" ht="12.75" customHeight="1" x14ac:dyDescent="0.3">
      <c r="A1" s="1" t="str">
        <f>company&amp;" Assumptions"</f>
        <v>BELLWAY P L C Assumptions</v>
      </c>
      <c r="B1" s="1"/>
      <c r="C1" s="1"/>
      <c r="D1" s="1"/>
      <c r="E1" s="1"/>
      <c r="F1" s="1"/>
      <c r="G1" s="1"/>
      <c r="H1" s="1"/>
      <c r="I1" s="1"/>
      <c r="J1" s="1"/>
    </row>
    <row r="2" spans="1:10" ht="12.75" customHeight="1" x14ac:dyDescent="0.3">
      <c r="A2" s="2" t="str">
        <f>"in "&amp;currency&amp;" thousands"</f>
        <v>in GBP thousands</v>
      </c>
      <c r="B2" s="1"/>
      <c r="C2" s="1"/>
      <c r="D2" s="1"/>
      <c r="E2" s="1"/>
      <c r="F2" s="1"/>
      <c r="G2" s="1"/>
      <c r="H2" s="1"/>
      <c r="I2" s="1"/>
      <c r="J2" s="1"/>
    </row>
    <row r="3" spans="1:10" ht="12.75" customHeight="1" x14ac:dyDescent="0.25"/>
    <row r="4" spans="1:10" ht="12.75" customHeight="1" x14ac:dyDescent="0.25">
      <c r="B4" s="3" t="s">
        <v>16</v>
      </c>
    </row>
    <row r="5" spans="1:10" ht="12.75" customHeight="1" x14ac:dyDescent="0.25">
      <c r="E5" s="10">
        <f>LFY+1</f>
        <v>2024</v>
      </c>
      <c r="F5" s="10">
        <f>LFY+2</f>
        <v>2025</v>
      </c>
      <c r="G5" s="10">
        <f>LFY+3</f>
        <v>2026</v>
      </c>
      <c r="H5" s="10">
        <f>LFY+4</f>
        <v>2027</v>
      </c>
      <c r="I5" s="10">
        <f>LFY+5</f>
        <v>2028</v>
      </c>
      <c r="J5" s="10">
        <f>LFY+6</f>
        <v>2029</v>
      </c>
    </row>
    <row r="6" spans="1:10" ht="12.75" customHeight="1" x14ac:dyDescent="0.25">
      <c r="B6" s="3" t="s">
        <v>15</v>
      </c>
      <c r="E6" s="11">
        <v>0.02</v>
      </c>
      <c r="F6" s="11">
        <v>0.02</v>
      </c>
      <c r="G6" s="11">
        <v>0.02</v>
      </c>
      <c r="H6" s="11">
        <v>0.02</v>
      </c>
      <c r="I6" s="11">
        <v>0.02</v>
      </c>
      <c r="J6" s="11">
        <v>0.02</v>
      </c>
    </row>
    <row r="7" spans="1:10" ht="12.75" customHeight="1" x14ac:dyDescent="0.25">
      <c r="B7" s="3" t="s">
        <v>14</v>
      </c>
      <c r="E7" s="11">
        <f t="shared" ref="E7:J7" si="0">E6+1%</f>
        <v>0.03</v>
      </c>
      <c r="F7" s="11">
        <f t="shared" si="0"/>
        <v>0.03</v>
      </c>
      <c r="G7" s="11">
        <f t="shared" si="0"/>
        <v>0.03</v>
      </c>
      <c r="H7" s="11">
        <f t="shared" si="0"/>
        <v>0.03</v>
      </c>
      <c r="I7" s="11">
        <f t="shared" si="0"/>
        <v>0.03</v>
      </c>
      <c r="J7" s="11">
        <f t="shared" si="0"/>
        <v>0.03</v>
      </c>
    </row>
    <row r="8" spans="1:10" ht="12.75" customHeight="1" x14ac:dyDescent="0.25">
      <c r="B8" s="3" t="s">
        <v>16</v>
      </c>
      <c r="E8" s="11">
        <f t="shared" ref="E8:J8" si="1">E6-1%</f>
        <v>0.01</v>
      </c>
      <c r="F8" s="11">
        <f t="shared" si="1"/>
        <v>0.01</v>
      </c>
      <c r="G8" s="11">
        <f t="shared" si="1"/>
        <v>0.01</v>
      </c>
      <c r="H8" s="11">
        <f t="shared" si="1"/>
        <v>0.01</v>
      </c>
      <c r="I8" s="11">
        <f t="shared" si="1"/>
        <v>0.01</v>
      </c>
      <c r="J8" s="11">
        <f t="shared" si="1"/>
        <v>0.01</v>
      </c>
    </row>
    <row r="9" spans="1:10" ht="12.75" customHeight="1" x14ac:dyDescent="0.25"/>
    <row r="10" spans="1:10" ht="12.75" customHeight="1" x14ac:dyDescent="0.25">
      <c r="A10" s="6" t="s">
        <v>17</v>
      </c>
      <c r="C10" s="10">
        <f>LFY-1</f>
        <v>2022</v>
      </c>
      <c r="D10" s="10">
        <f>LFY</f>
        <v>2023</v>
      </c>
      <c r="E10" s="10">
        <f>LFY+1</f>
        <v>2024</v>
      </c>
      <c r="F10" s="10">
        <f>LFY+2</f>
        <v>2025</v>
      </c>
      <c r="G10" s="10">
        <f>LFY+3</f>
        <v>2026</v>
      </c>
      <c r="H10" s="10">
        <f>LFY+4</f>
        <v>2027</v>
      </c>
      <c r="I10" s="10">
        <f>LFY+5</f>
        <v>2028</v>
      </c>
      <c r="J10" s="10">
        <f>LFY+6</f>
        <v>2029</v>
      </c>
    </row>
    <row r="11" spans="1:10" ht="12.75" customHeight="1" x14ac:dyDescent="0.25">
      <c r="B11" s="3" t="s">
        <v>18</v>
      </c>
      <c r="C11" s="12"/>
      <c r="D11" s="12">
        <f>'Income Statement'!D9/'Income Statement'!C9-1</f>
        <v>-3.6812938249264904E-2</v>
      </c>
      <c r="E11" s="11">
        <f t="shared" ref="E11:J11" si="2">VLOOKUP($B$4,$B$6:$J$8,MATCH(E5,$E$10:$J$10)+3,FALSE)</f>
        <v>0.01</v>
      </c>
      <c r="F11" s="11">
        <f t="shared" si="2"/>
        <v>0.01</v>
      </c>
      <c r="G11" s="11">
        <f t="shared" si="2"/>
        <v>0.01</v>
      </c>
      <c r="H11" s="11">
        <f t="shared" si="2"/>
        <v>0.01</v>
      </c>
      <c r="I11" s="11">
        <f t="shared" si="2"/>
        <v>0.01</v>
      </c>
      <c r="J11" s="11">
        <f t="shared" si="2"/>
        <v>0.01</v>
      </c>
    </row>
    <row r="12" spans="1:10" ht="12.75" customHeight="1" x14ac:dyDescent="0.25">
      <c r="B12" s="3" t="s">
        <v>19</v>
      </c>
      <c r="C12" s="12">
        <f>-'Income Statement'!C10/'Income Statement'!C9</f>
        <v>0.87480208097715451</v>
      </c>
      <c r="D12" s="12">
        <f>-'Income Statement'!D10/'Income Statement'!D9</f>
        <v>0.8095755298538132</v>
      </c>
      <c r="E12" s="11">
        <v>0.84</v>
      </c>
      <c r="F12" s="11">
        <v>0.84</v>
      </c>
      <c r="G12" s="11">
        <v>0.84</v>
      </c>
      <c r="H12" s="11">
        <v>0.84</v>
      </c>
      <c r="I12" s="11">
        <v>0.84</v>
      </c>
      <c r="J12" s="11">
        <v>0.84</v>
      </c>
    </row>
    <row r="13" spans="1:10" ht="12.75" customHeight="1" x14ac:dyDescent="0.25">
      <c r="B13" s="3" t="s">
        <v>104</v>
      </c>
      <c r="C13" s="12">
        <f>-'Income Statement'!C14/'Income Statement'!C9</f>
        <v>4.4984166478172362E-2</v>
      </c>
      <c r="D13" s="12">
        <f>-'Income Statement'!D14/'Income Statement'!D9</f>
        <v>5.0636998767099158E-2</v>
      </c>
      <c r="E13" s="11">
        <v>0.05</v>
      </c>
      <c r="F13" s="11">
        <v>0.05</v>
      </c>
      <c r="G13" s="11">
        <v>0.05</v>
      </c>
      <c r="H13" s="11">
        <v>0.05</v>
      </c>
      <c r="I13" s="11">
        <v>0.05</v>
      </c>
      <c r="J13" s="11">
        <v>0.05</v>
      </c>
    </row>
    <row r="14" spans="1:10" ht="12.75" customHeight="1" x14ac:dyDescent="0.25">
      <c r="B14" s="3" t="s">
        <v>116</v>
      </c>
      <c r="C14" s="13">
        <f>'Income Statement'!C15</f>
        <v>40700</v>
      </c>
      <c r="D14" s="13">
        <f>'Income Statement'!D15</f>
        <v>33700</v>
      </c>
      <c r="E14" s="14">
        <v>30000</v>
      </c>
      <c r="F14" s="14">
        <v>30000</v>
      </c>
      <c r="G14" s="14">
        <v>30000</v>
      </c>
      <c r="H14" s="14">
        <v>30000</v>
      </c>
      <c r="I14" s="14">
        <v>30000</v>
      </c>
      <c r="J14" s="14">
        <v>30000</v>
      </c>
    </row>
    <row r="15" spans="1:10" ht="12.75" customHeight="1" x14ac:dyDescent="0.25">
      <c r="B15" s="3" t="s">
        <v>117</v>
      </c>
      <c r="C15" s="13">
        <f>'Income Statement'!C32</f>
        <v>0</v>
      </c>
      <c r="D15" s="13">
        <f>'Income Statement'!D32</f>
        <v>0</v>
      </c>
      <c r="E15" s="14">
        <v>0</v>
      </c>
      <c r="F15" s="14">
        <v>0</v>
      </c>
      <c r="G15" s="14">
        <v>0</v>
      </c>
      <c r="H15" s="14">
        <v>0</v>
      </c>
      <c r="I15" s="14">
        <v>0</v>
      </c>
      <c r="J15" s="14">
        <v>0</v>
      </c>
    </row>
    <row r="16" spans="1:10" ht="12.75" customHeight="1" x14ac:dyDescent="0.25">
      <c r="B16" s="3" t="s">
        <v>107</v>
      </c>
      <c r="C16" s="15">
        <f>-'Income Statement'!C20/'Balance sheet'!C15</f>
        <v>0.4485294117647059</v>
      </c>
      <c r="D16" s="15">
        <f>-'Income Statement'!D20/'Balance sheet'!D15</f>
        <v>0.41379310344827586</v>
      </c>
      <c r="E16" s="11">
        <v>0.42</v>
      </c>
      <c r="F16" s="11">
        <v>0.42</v>
      </c>
      <c r="G16" s="11">
        <v>0.42</v>
      </c>
      <c r="H16" s="11">
        <v>0.42</v>
      </c>
      <c r="I16" s="11">
        <v>0.42</v>
      </c>
      <c r="J16" s="11">
        <v>0.42</v>
      </c>
    </row>
    <row r="17" spans="1:10" ht="12.75" customHeight="1" x14ac:dyDescent="0.25">
      <c r="B17" s="3" t="s">
        <v>108</v>
      </c>
      <c r="C17" s="15">
        <f>-'Income Statement'!C21/'Balance sheet'!C16</f>
        <v>0</v>
      </c>
      <c r="D17" s="15">
        <f>-'Income Statement'!D21/'Balance sheet'!D16</f>
        <v>0</v>
      </c>
      <c r="E17" s="11">
        <v>0</v>
      </c>
      <c r="F17" s="11">
        <v>0</v>
      </c>
      <c r="G17" s="11">
        <v>0</v>
      </c>
      <c r="H17" s="11">
        <v>0</v>
      </c>
      <c r="I17" s="11">
        <v>0</v>
      </c>
      <c r="J17" s="11">
        <v>0</v>
      </c>
    </row>
    <row r="18" spans="1:10" ht="12.75" customHeight="1" x14ac:dyDescent="0.25">
      <c r="B18" s="17" t="s">
        <v>105</v>
      </c>
      <c r="C18" s="12">
        <f>'Income Statement'!C25/'Balance sheet'!C9</f>
        <v>4.2632560618172128E-3</v>
      </c>
      <c r="D18" s="12">
        <f>'Income Statement'!D25/'Balance sheet'!D9</f>
        <v>2.7348066298342542E-2</v>
      </c>
      <c r="E18" s="11">
        <v>0.03</v>
      </c>
      <c r="F18" s="11">
        <v>0.03</v>
      </c>
      <c r="G18" s="11">
        <v>0.03</v>
      </c>
      <c r="H18" s="11">
        <v>0.03</v>
      </c>
      <c r="I18" s="11">
        <v>0.03</v>
      </c>
      <c r="J18" s="11">
        <v>0.03</v>
      </c>
    </row>
    <row r="19" spans="1:10" ht="12.75" customHeight="1" x14ac:dyDescent="0.25">
      <c r="B19" s="3" t="s">
        <v>20</v>
      </c>
      <c r="C19" s="12">
        <f>-'Income Statement'!C29/'Income Statement'!C27</f>
        <v>0.20249835634451019</v>
      </c>
      <c r="D19" s="12">
        <f>-'Income Statement'!D29/'Income Statement'!D27</f>
        <v>0.2443064182194617</v>
      </c>
      <c r="E19" s="11">
        <v>0.25</v>
      </c>
      <c r="F19" s="11">
        <v>0.25</v>
      </c>
      <c r="G19" s="11">
        <v>0.25</v>
      </c>
      <c r="H19" s="11">
        <v>0.25</v>
      </c>
      <c r="I19" s="11">
        <v>0.25</v>
      </c>
      <c r="J19" s="11">
        <v>0.25</v>
      </c>
    </row>
    <row r="20" spans="1:10" ht="12.75" customHeight="1" x14ac:dyDescent="0.25">
      <c r="B20" s="3" t="s">
        <v>118</v>
      </c>
      <c r="C20" s="13">
        <f>'Income Statement'!C32</f>
        <v>0</v>
      </c>
      <c r="D20" s="13">
        <f>'Income Statement'!D32</f>
        <v>0</v>
      </c>
      <c r="E20" s="45">
        <v>0</v>
      </c>
      <c r="F20" s="45">
        <v>0</v>
      </c>
      <c r="G20" s="45">
        <v>0</v>
      </c>
      <c r="H20" s="45">
        <v>0</v>
      </c>
      <c r="I20" s="45">
        <v>0</v>
      </c>
      <c r="J20" s="45">
        <v>0</v>
      </c>
    </row>
    <row r="21" spans="1:10" ht="12.75" customHeight="1" x14ac:dyDescent="0.25"/>
    <row r="22" spans="1:10" ht="12.75" customHeight="1" x14ac:dyDescent="0.25">
      <c r="A22" s="6" t="s">
        <v>21</v>
      </c>
    </row>
    <row r="23" spans="1:10" ht="12.75" customHeight="1" x14ac:dyDescent="0.25">
      <c r="B23" s="3" t="s">
        <v>22</v>
      </c>
      <c r="C23" s="12">
        <f>'Balance sheet'!C10/'Income Statement'!C9</f>
        <v>1.3430219407373897E-2</v>
      </c>
      <c r="D23" s="12">
        <f>'Balance sheet'!D10/'Income Statement'!D9</f>
        <v>1.0156754535313802E-2</v>
      </c>
      <c r="E23" s="11">
        <v>0.01</v>
      </c>
      <c r="F23" s="11">
        <v>0.01</v>
      </c>
      <c r="G23" s="11">
        <v>0.01</v>
      </c>
      <c r="H23" s="11">
        <v>0.01</v>
      </c>
      <c r="I23" s="11">
        <v>0.01</v>
      </c>
      <c r="J23" s="11">
        <v>0.01</v>
      </c>
    </row>
    <row r="24" spans="1:10" ht="12.75" customHeight="1" x14ac:dyDescent="0.25">
      <c r="B24" s="3" t="s">
        <v>23</v>
      </c>
      <c r="C24" s="12">
        <f>'Balance sheet'!C11/'Income Statement'!C9</f>
        <v>1.2507351277991405</v>
      </c>
      <c r="D24" s="12">
        <f>'Balance sheet'!D11/'Income Statement'!D9</f>
        <v>1.3431574003405156</v>
      </c>
      <c r="E24" s="48">
        <v>1.3</v>
      </c>
      <c r="F24" s="48">
        <v>1.3</v>
      </c>
      <c r="G24" s="48">
        <v>1.3</v>
      </c>
      <c r="H24" s="48">
        <v>1.3</v>
      </c>
      <c r="I24" s="48">
        <v>1.3</v>
      </c>
      <c r="J24" s="48">
        <v>1.3</v>
      </c>
    </row>
    <row r="25" spans="1:10" ht="12.75" customHeight="1" x14ac:dyDescent="0.25">
      <c r="B25" s="3" t="s">
        <v>24</v>
      </c>
      <c r="C25" s="12">
        <f>'Balance sheet'!C12/'Income Statement'!C9</f>
        <v>1.8971952047048178E-2</v>
      </c>
      <c r="D25" s="12">
        <f>'Balance sheet'!D12/'Income Statement'!D9</f>
        <v>1.834673868373158E-2</v>
      </c>
      <c r="E25" s="49">
        <v>1.7999999999999999E-2</v>
      </c>
      <c r="F25" s="49">
        <v>1.7999999999999999E-2</v>
      </c>
      <c r="G25" s="49">
        <v>1.7999999999999999E-2</v>
      </c>
      <c r="H25" s="49">
        <v>1.7999999999999999E-2</v>
      </c>
      <c r="I25" s="49">
        <v>1.7999999999999999E-2</v>
      </c>
      <c r="J25" s="49">
        <v>1.7999999999999999E-2</v>
      </c>
    </row>
    <row r="26" spans="1:10" ht="12.75" customHeight="1" x14ac:dyDescent="0.25">
      <c r="B26" s="3" t="s">
        <v>106</v>
      </c>
      <c r="C26" s="12">
        <f>'Side calculations'!C10/'Income Statement'!C9</f>
        <v>-1.7529970594888035E-3</v>
      </c>
      <c r="D26" s="12">
        <f>'Side calculations'!D10/'Income Statement'!D9</f>
        <v>0</v>
      </c>
      <c r="E26" s="11">
        <v>0.01</v>
      </c>
      <c r="F26" s="11">
        <v>0.01</v>
      </c>
      <c r="G26" s="11">
        <v>0.01</v>
      </c>
      <c r="H26" s="11">
        <v>0.01</v>
      </c>
      <c r="I26" s="11">
        <v>0.01</v>
      </c>
      <c r="J26" s="11">
        <v>0.01</v>
      </c>
    </row>
    <row r="27" spans="1:10" ht="12.75" customHeight="1" x14ac:dyDescent="0.25">
      <c r="B27" s="3" t="s">
        <v>119</v>
      </c>
      <c r="C27" s="13">
        <f>'Balance sheet'!C16</f>
        <v>37400</v>
      </c>
      <c r="D27" s="13">
        <f>'Balance sheet'!D16</f>
        <v>47700</v>
      </c>
      <c r="E27" s="16">
        <f>D27</f>
        <v>47700</v>
      </c>
      <c r="F27" s="16">
        <f t="shared" ref="F27:J27" si="3">E27</f>
        <v>47700</v>
      </c>
      <c r="G27" s="16">
        <f t="shared" si="3"/>
        <v>47700</v>
      </c>
      <c r="H27" s="16">
        <f t="shared" si="3"/>
        <v>47700</v>
      </c>
      <c r="I27" s="16">
        <f t="shared" si="3"/>
        <v>47700</v>
      </c>
      <c r="J27" s="16">
        <f t="shared" si="3"/>
        <v>47700</v>
      </c>
    </row>
    <row r="28" spans="1:10" ht="12.75" customHeight="1" x14ac:dyDescent="0.25">
      <c r="B28" s="3" t="s">
        <v>25</v>
      </c>
      <c r="C28" s="12">
        <f>'Balance sheet'!C17/'Income Statement'!C9</f>
        <v>5.8244741008821529E-3</v>
      </c>
      <c r="D28" s="12">
        <f>'Balance sheet'!D17/'Income Statement'!D9</f>
        <v>5.049022485762931E-3</v>
      </c>
      <c r="E28" s="11">
        <v>5.0000000000000001E-3</v>
      </c>
      <c r="F28" s="11">
        <v>5.0000000000000001E-3</v>
      </c>
      <c r="G28" s="11">
        <v>5.0000000000000001E-3</v>
      </c>
      <c r="H28" s="11">
        <v>5.0000000000000001E-3</v>
      </c>
      <c r="I28" s="11">
        <v>5.0000000000000001E-3</v>
      </c>
      <c r="J28" s="11">
        <v>5.0000000000000001E-3</v>
      </c>
    </row>
    <row r="29" spans="1:10" ht="12.75" customHeight="1" x14ac:dyDescent="0.25">
      <c r="C29" s="12"/>
      <c r="D29" s="12"/>
    </row>
    <row r="30" spans="1:10" ht="12.75" customHeight="1" x14ac:dyDescent="0.25">
      <c r="B30" s="3" t="s">
        <v>26</v>
      </c>
      <c r="C30" s="12">
        <f>-'Balance sheet'!C22/'Income Statement'!C9</f>
        <v>0.16543202895272563</v>
      </c>
      <c r="D30" s="12">
        <f>-'Balance sheet'!D22/'Income Statement'!D9</f>
        <v>0.17014031585745318</v>
      </c>
      <c r="E30" s="11">
        <v>0.17</v>
      </c>
      <c r="F30" s="11">
        <v>0.17</v>
      </c>
      <c r="G30" s="11">
        <v>0.17</v>
      </c>
      <c r="H30" s="11">
        <v>0.17</v>
      </c>
      <c r="I30" s="11">
        <v>0.17</v>
      </c>
      <c r="J30" s="11">
        <v>0.17</v>
      </c>
    </row>
    <row r="31" spans="1:10" ht="12.75" customHeight="1" x14ac:dyDescent="0.25">
      <c r="B31" s="3" t="s">
        <v>27</v>
      </c>
      <c r="C31" s="12">
        <f>-'Balance sheet'!C23/'Income Statement'!C9</f>
        <v>0.10828997964261479</v>
      </c>
      <c r="D31" s="12">
        <f>-'Balance sheet'!D23/'Income Statement'!D9</f>
        <v>0.1241120178477074</v>
      </c>
      <c r="E31" s="11">
        <v>0.12</v>
      </c>
      <c r="F31" s="11">
        <v>0.12</v>
      </c>
      <c r="G31" s="11">
        <v>0.12</v>
      </c>
      <c r="H31" s="11">
        <v>0.12</v>
      </c>
      <c r="I31" s="11">
        <v>0.12</v>
      </c>
      <c r="J31" s="11">
        <v>0.12</v>
      </c>
    </row>
    <row r="32" spans="1:10" ht="12.75" customHeight="1" x14ac:dyDescent="0.25">
      <c r="B32" s="3" t="s">
        <v>28</v>
      </c>
      <c r="C32" s="12">
        <f>-'Balance sheet'!C27/'Income Statement'!C9</f>
        <v>2.6097036869486542E-2</v>
      </c>
      <c r="D32" s="12">
        <f>-'Balance sheet'!D27/'Income Statement'!D9</f>
        <v>2.8004461926847884E-2</v>
      </c>
      <c r="E32" s="11">
        <v>2.8000000000000001E-2</v>
      </c>
      <c r="F32" s="11">
        <v>2.8000000000000001E-2</v>
      </c>
      <c r="G32" s="11">
        <v>2.8000000000000001E-2</v>
      </c>
      <c r="H32" s="11">
        <v>2.8000000000000001E-2</v>
      </c>
      <c r="I32" s="11">
        <v>2.8000000000000001E-2</v>
      </c>
      <c r="J32" s="11">
        <v>2.8000000000000001E-2</v>
      </c>
    </row>
    <row r="33" spans="1:10" ht="12.75" customHeight="1" x14ac:dyDescent="0.25">
      <c r="B33" s="3" t="s">
        <v>120</v>
      </c>
      <c r="C33" s="13">
        <f>-'Balance sheet'!C28</f>
        <v>409700</v>
      </c>
      <c r="D33" s="13">
        <f>-'Balance sheet'!D28</f>
        <v>409700</v>
      </c>
      <c r="E33" s="16">
        <f>D33</f>
        <v>409700</v>
      </c>
      <c r="F33" s="16">
        <f t="shared" ref="F33:J33" si="4">E33</f>
        <v>409700</v>
      </c>
      <c r="G33" s="16">
        <f t="shared" si="4"/>
        <v>409700</v>
      </c>
      <c r="H33" s="16">
        <f t="shared" si="4"/>
        <v>409700</v>
      </c>
      <c r="I33" s="16">
        <f t="shared" si="4"/>
        <v>409700</v>
      </c>
      <c r="J33" s="16">
        <f t="shared" si="4"/>
        <v>409700</v>
      </c>
    </row>
    <row r="34" spans="1:10" ht="12.75" customHeight="1" x14ac:dyDescent="0.25">
      <c r="B34" s="3" t="s">
        <v>121</v>
      </c>
      <c r="C34" s="13">
        <f>-'Balance sheet'!C29</f>
        <v>0</v>
      </c>
      <c r="D34" s="13">
        <f>-'Balance sheet'!D29</f>
        <v>0</v>
      </c>
      <c r="E34" s="45">
        <v>0</v>
      </c>
      <c r="F34" s="45">
        <v>0</v>
      </c>
      <c r="G34" s="45">
        <v>0</v>
      </c>
      <c r="H34" s="45">
        <v>0</v>
      </c>
      <c r="I34" s="45">
        <v>0</v>
      </c>
      <c r="J34" s="45">
        <v>0</v>
      </c>
    </row>
    <row r="35" spans="1:10" ht="12.75" customHeight="1" x14ac:dyDescent="0.25">
      <c r="B35" s="3" t="s">
        <v>29</v>
      </c>
      <c r="C35" s="12">
        <f>-'Side calculations'!C17/'Income Statement'!C33</f>
        <v>0.64798021434460018</v>
      </c>
      <c r="D35" s="12">
        <f>-'Side calculations'!D17/'Income Statement'!D33</f>
        <v>0.47041095890410961</v>
      </c>
      <c r="E35" s="11">
        <v>0.5</v>
      </c>
      <c r="F35" s="11">
        <v>0.5</v>
      </c>
      <c r="G35" s="11">
        <v>0.5</v>
      </c>
      <c r="H35" s="11">
        <v>0.5</v>
      </c>
      <c r="I35" s="11">
        <v>0.5</v>
      </c>
      <c r="J35" s="11">
        <v>0.5</v>
      </c>
    </row>
    <row r="36" spans="1:10" ht="12.75" customHeight="1" x14ac:dyDescent="0.25"/>
    <row r="37" spans="1:10" ht="12.75" customHeight="1" x14ac:dyDescent="0.25">
      <c r="A37" s="6" t="s">
        <v>30</v>
      </c>
    </row>
    <row r="38" spans="1:10" ht="12.75" customHeight="1" x14ac:dyDescent="0.25">
      <c r="A38" s="6"/>
      <c r="B38" s="3" t="s">
        <v>31</v>
      </c>
      <c r="E38" s="46">
        <v>5000</v>
      </c>
      <c r="F38" s="46">
        <v>5000</v>
      </c>
      <c r="G38" s="46">
        <v>10000</v>
      </c>
      <c r="H38" s="46">
        <v>10000</v>
      </c>
      <c r="I38" s="46">
        <v>10000</v>
      </c>
      <c r="J38" s="46">
        <v>10000</v>
      </c>
    </row>
    <row r="39" spans="1:10" ht="12.75" customHeight="1" x14ac:dyDescent="0.25">
      <c r="A39" s="6"/>
      <c r="B39" s="3" t="s">
        <v>32</v>
      </c>
      <c r="E39" s="47">
        <v>500</v>
      </c>
      <c r="F39" s="47">
        <v>500</v>
      </c>
      <c r="G39" s="47">
        <v>0</v>
      </c>
      <c r="H39" s="47">
        <v>0</v>
      </c>
      <c r="I39" s="47">
        <v>0</v>
      </c>
      <c r="J39" s="47">
        <v>0</v>
      </c>
    </row>
    <row r="40" spans="1:10" ht="12.75" customHeight="1" x14ac:dyDescent="0.25">
      <c r="B40" s="3" t="s">
        <v>33</v>
      </c>
      <c r="C40" s="12"/>
      <c r="D40" s="12"/>
      <c r="E40" s="11">
        <v>3.5000000000000003E-2</v>
      </c>
      <c r="F40" s="11">
        <v>0.04</v>
      </c>
      <c r="G40" s="11">
        <v>0.04</v>
      </c>
      <c r="H40" s="11">
        <v>0.04</v>
      </c>
      <c r="I40" s="11">
        <v>0.04</v>
      </c>
      <c r="J40" s="11">
        <v>0.04</v>
      </c>
    </row>
    <row r="41" spans="1:10" ht="12.75" customHeight="1" x14ac:dyDescent="0.25">
      <c r="B41" s="3" t="s">
        <v>34</v>
      </c>
      <c r="E41" s="11">
        <v>0.02</v>
      </c>
      <c r="F41" s="11">
        <v>2.5000000000000001E-2</v>
      </c>
      <c r="G41" s="11">
        <v>2.5000000000000001E-2</v>
      </c>
      <c r="H41" s="11">
        <v>2.5000000000000001E-2</v>
      </c>
      <c r="I41" s="11">
        <v>2.5000000000000001E-2</v>
      </c>
      <c r="J41" s="11">
        <v>2.5000000000000001E-2</v>
      </c>
    </row>
    <row r="42" spans="1:10" ht="12.75" customHeight="1" x14ac:dyDescent="0.25"/>
    <row r="43" spans="1:10" ht="12.75" customHeight="1" x14ac:dyDescent="0.25"/>
    <row r="44" spans="1:10" ht="12.75" customHeight="1" x14ac:dyDescent="0.25"/>
    <row r="45" spans="1:10" ht="12.75" customHeight="1" x14ac:dyDescent="0.25"/>
    <row r="46" spans="1:10" ht="12.75" customHeight="1" x14ac:dyDescent="0.25"/>
    <row r="47" spans="1:10" ht="12.75" customHeight="1" x14ac:dyDescent="0.25"/>
    <row r="48" spans="1:10"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sheetData>
  <dataValidations count="1">
    <dataValidation type="list" allowBlank="1" showErrorMessage="1" sqref="B4" xr:uid="{00000000-0002-0000-0100-000000000000}">
      <formula1>$B$6:$B$8</formula1>
    </dataValidation>
  </dataValidations>
  <pageMargins left="0.70866141732283472" right="0.70866141732283472" top="0.74803149606299213" bottom="0.74803149606299213" header="0" footer="0"/>
  <pageSetup paperSize="9" scale="61" orientation="portrait"/>
  <headerFooter>
    <oddHeader>&amp;L© ACW Consulting 2016&amp;R&amp;F</oddHeader>
    <oddFooter>&amp;L© ACW Consulting 2016&amp;R&amp;F&amp;A</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2" zoomScale="86" zoomScaleNormal="86" workbookViewId="0">
      <selection activeCell="E9" sqref="E9"/>
    </sheetView>
  </sheetViews>
  <sheetFormatPr defaultColWidth="12.6640625" defaultRowHeight="15" customHeight="1" x14ac:dyDescent="0.25"/>
  <cols>
    <col min="1" max="1" width="1.6640625" customWidth="1"/>
    <col min="2" max="2" width="30.109375" bestFit="1" customWidth="1"/>
    <col min="3" max="3" width="11.6640625" customWidth="1"/>
    <col min="4" max="10" width="12" bestFit="1" customWidth="1"/>
    <col min="11" max="26" width="8.6640625" customWidth="1"/>
  </cols>
  <sheetData>
    <row r="1" spans="1:26" ht="12.75" customHeight="1" x14ac:dyDescent="0.3">
      <c r="A1" s="1" t="str">
        <f>company&amp;" Side Calculations"</f>
        <v>BELLWAY P L C Side Calculations</v>
      </c>
      <c r="B1" s="1"/>
      <c r="C1" s="1"/>
      <c r="D1" s="1"/>
      <c r="E1" s="1"/>
      <c r="F1" s="1"/>
      <c r="G1" s="1"/>
      <c r="H1" s="1"/>
      <c r="I1" s="1"/>
      <c r="J1" s="1"/>
    </row>
    <row r="2" spans="1:26" ht="12.75" customHeight="1" x14ac:dyDescent="0.3">
      <c r="A2" s="2" t="str">
        <f>"in "&amp;currency&amp;" thousands"</f>
        <v>in GBP thousands</v>
      </c>
      <c r="B2" s="1"/>
      <c r="C2" s="1"/>
      <c r="D2" s="1"/>
      <c r="E2" s="1"/>
      <c r="F2" s="1"/>
      <c r="G2" s="1"/>
      <c r="H2" s="1"/>
      <c r="I2" s="1"/>
      <c r="J2" s="1"/>
    </row>
    <row r="3" spans="1:26" ht="12.75" customHeight="1" x14ac:dyDescent="0.25"/>
    <row r="4" spans="1:26" ht="12.75" customHeight="1" x14ac:dyDescent="0.25"/>
    <row r="5" spans="1:26" ht="12.75" customHeight="1" x14ac:dyDescent="0.25"/>
    <row r="6" spans="1:26" ht="12.75" customHeight="1" x14ac:dyDescent="0.25">
      <c r="C6" s="10">
        <f>Assumptions!C10</f>
        <v>2022</v>
      </c>
      <c r="D6" s="10">
        <f>Assumptions!D10</f>
        <v>2023</v>
      </c>
      <c r="E6" s="10">
        <f>Assumptions!E10</f>
        <v>2024</v>
      </c>
      <c r="F6" s="10">
        <f>Assumptions!F10</f>
        <v>2025</v>
      </c>
      <c r="G6" s="10">
        <f>Assumptions!G10</f>
        <v>2026</v>
      </c>
      <c r="H6" s="10">
        <f>Assumptions!H10</f>
        <v>2027</v>
      </c>
      <c r="I6" s="10">
        <f>Assumptions!I10</f>
        <v>2028</v>
      </c>
      <c r="J6" s="10">
        <f>Assumptions!J10</f>
        <v>2029</v>
      </c>
    </row>
    <row r="7" spans="1:26" ht="12.75" customHeight="1" x14ac:dyDescent="0.25">
      <c r="C7" s="18"/>
      <c r="D7" s="18"/>
      <c r="E7" s="19"/>
      <c r="F7" s="19"/>
      <c r="G7" s="19"/>
      <c r="H7" s="19"/>
      <c r="I7" s="19"/>
      <c r="J7" s="19"/>
    </row>
    <row r="8" spans="1:26" ht="12.75" customHeight="1" x14ac:dyDescent="0.25">
      <c r="B8" s="6" t="s">
        <v>35</v>
      </c>
    </row>
    <row r="9" spans="1:26" ht="12.75" customHeight="1" x14ac:dyDescent="0.25">
      <c r="B9" s="3" t="s">
        <v>36</v>
      </c>
      <c r="D9" s="13"/>
      <c r="E9" s="13">
        <f>'Balance sheet'!D15</f>
        <v>14500</v>
      </c>
      <c r="F9" s="13">
        <f ca="1">E12</f>
        <v>34681.211267605635</v>
      </c>
      <c r="G9" s="13">
        <f ca="1">F12</f>
        <v>49382.730751834955</v>
      </c>
      <c r="H9" s="13">
        <f ca="1">G12</f>
        <v>60235.100337911936</v>
      </c>
      <c r="I9" s="13">
        <f ca="1">H12</f>
        <v>68386.784718642244</v>
      </c>
      <c r="J9" s="13">
        <f ca="1">I12</f>
        <v>74646.761521446024</v>
      </c>
    </row>
    <row r="10" spans="1:26" ht="12.75" customHeight="1" x14ac:dyDescent="0.25">
      <c r="B10" s="3" t="s">
        <v>37</v>
      </c>
      <c r="C10" s="44">
        <v>-6200</v>
      </c>
      <c r="D10" s="20">
        <f>D12-D11-D9</f>
        <v>0</v>
      </c>
      <c r="E10" s="13">
        <f>Assumptions!E26*'Income Statement'!E9</f>
        <v>34406.660000000003</v>
      </c>
      <c r="F10" s="13">
        <f>Assumptions!F26*'Income Statement'!F9</f>
        <v>34750.726600000002</v>
      </c>
      <c r="G10" s="13">
        <f>Assumptions!G26*'Income Statement'!G9</f>
        <v>35098.233866000002</v>
      </c>
      <c r="H10" s="13">
        <f>Assumptions!H26*'Income Statement'!H9</f>
        <v>35449.216204660006</v>
      </c>
      <c r="I10" s="13">
        <f>Assumptions!I26*'Income Statement'!I9</f>
        <v>35803.708366706604</v>
      </c>
      <c r="J10" s="13">
        <f>Assumptions!J26*'Income Statement'!J9</f>
        <v>36161.745450373674</v>
      </c>
    </row>
    <row r="11" spans="1:26" ht="12.75" customHeight="1" x14ac:dyDescent="0.25">
      <c r="B11" s="3" t="s">
        <v>38</v>
      </c>
      <c r="D11" s="13"/>
      <c r="E11" s="13">
        <f ca="1">-Assumptions!E16*'Side calculations'!E12</f>
        <v>-14566.108732394367</v>
      </c>
      <c r="F11" s="13">
        <f ca="1">-Assumptions!F16*'Side calculations'!F12</f>
        <v>-20740.74691577068</v>
      </c>
      <c r="G11" s="13">
        <f ca="1">-Assumptions!G16*'Side calculations'!G12</f>
        <v>-25298.742141923012</v>
      </c>
      <c r="H11" s="13">
        <f ca="1">-Assumptions!H16*'Side calculations'!H12</f>
        <v>-28722.44958182974</v>
      </c>
      <c r="I11" s="13">
        <f ca="1">-Assumptions!I16*'Side calculations'!I12</f>
        <v>-31351.63983900733</v>
      </c>
      <c r="J11" s="13">
        <f ca="1">-Assumptions!J16*'Side calculations'!J12</f>
        <v>-33425.673527013605</v>
      </c>
    </row>
    <row r="12" spans="1:26" ht="12.75" customHeight="1" x14ac:dyDescent="0.25">
      <c r="A12" s="6"/>
      <c r="B12" s="6" t="s">
        <v>39</v>
      </c>
      <c r="C12" s="6"/>
      <c r="D12" s="6"/>
      <c r="E12" s="6">
        <f ca="1">SUM(E9:E11)</f>
        <v>34681.211267605635</v>
      </c>
      <c r="F12" s="6">
        <f t="shared" ref="F12:J12" ca="1" si="0">SUM(F9:F11)</f>
        <v>49382.730751834955</v>
      </c>
      <c r="G12" s="6">
        <f t="shared" ca="1" si="0"/>
        <v>60235.10033791195</v>
      </c>
      <c r="H12" s="6">
        <f t="shared" ca="1" si="0"/>
        <v>68386.784718642186</v>
      </c>
      <c r="I12" s="6">
        <f t="shared" ca="1" si="0"/>
        <v>74646.761521446126</v>
      </c>
      <c r="J12" s="6">
        <f t="shared" ca="1" si="0"/>
        <v>79584.936969079863</v>
      </c>
      <c r="K12" s="6"/>
      <c r="L12" s="6"/>
      <c r="M12" s="6"/>
      <c r="N12" s="6"/>
      <c r="O12" s="6"/>
      <c r="P12" s="6"/>
      <c r="Q12" s="6"/>
      <c r="R12" s="6"/>
      <c r="S12" s="6"/>
      <c r="T12" s="6"/>
      <c r="U12" s="6"/>
      <c r="V12" s="6"/>
      <c r="W12" s="6"/>
      <c r="X12" s="6"/>
      <c r="Y12" s="6"/>
      <c r="Z12" s="6"/>
    </row>
    <row r="13" spans="1:26" ht="12.75" customHeight="1" x14ac:dyDescent="0.25"/>
    <row r="14" spans="1:26" ht="12.75" customHeight="1" x14ac:dyDescent="0.25">
      <c r="B14" s="6" t="s">
        <v>40</v>
      </c>
    </row>
    <row r="15" spans="1:26" ht="12.75" customHeight="1" x14ac:dyDescent="0.25">
      <c r="B15" s="3" t="s">
        <v>36</v>
      </c>
      <c r="D15" s="13"/>
      <c r="E15" s="13">
        <f>+D18</f>
        <v>3461600</v>
      </c>
      <c r="F15" s="13">
        <f t="shared" ref="F15:J15" ca="1" si="1">+E18</f>
        <v>3615114.0526660848</v>
      </c>
      <c r="G15" s="13">
        <f t="shared" ca="1" si="1"/>
        <v>3769710.6412705057</v>
      </c>
      <c r="H15" s="13">
        <f t="shared" ca="1" si="1"/>
        <v>3926355.060189202</v>
      </c>
      <c r="I15" s="13">
        <f t="shared" ca="1" si="1"/>
        <v>4085609.8646219899</v>
      </c>
      <c r="J15" s="13">
        <f t="shared" ca="1" si="1"/>
        <v>4247871.2414764594</v>
      </c>
    </row>
    <row r="16" spans="1:26" ht="12.75" customHeight="1" x14ac:dyDescent="0.25">
      <c r="B16" s="3" t="s">
        <v>41</v>
      </c>
      <c r="D16" s="13"/>
      <c r="E16" s="13">
        <f ca="1">+'Income Statement'!E33</f>
        <v>307028.10533217015</v>
      </c>
      <c r="F16" s="13">
        <f ca="1">'Income Statement'!F33</f>
        <v>309193.1772088423</v>
      </c>
      <c r="G16" s="13">
        <f ca="1">'Income Statement'!G33</f>
        <v>313288.83783739188</v>
      </c>
      <c r="H16" s="13">
        <f ca="1">'Income Statement'!H33</f>
        <v>318509.60886557674</v>
      </c>
      <c r="I16" s="13">
        <f ca="1">'Income Statement'!I33</f>
        <v>324522.75370893849</v>
      </c>
      <c r="J16" s="13">
        <f ca="1">'Income Statement'!J33</f>
        <v>331144.50129066617</v>
      </c>
    </row>
    <row r="17" spans="1:26" ht="12.75" customHeight="1" x14ac:dyDescent="0.25">
      <c r="B17" s="3" t="s">
        <v>42</v>
      </c>
      <c r="C17" s="20">
        <v>-157200</v>
      </c>
      <c r="D17" s="20">
        <v>-171700</v>
      </c>
      <c r="E17" s="13">
        <f ca="1">-Assumptions!E35*E16</f>
        <v>-153514.05266608507</v>
      </c>
      <c r="F17" s="13">
        <f ca="1">-Assumptions!F35*F16</f>
        <v>-154596.58860442115</v>
      </c>
      <c r="G17" s="13">
        <f ca="1">-Assumptions!G35*G16</f>
        <v>-156644.41891869594</v>
      </c>
      <c r="H17" s="13">
        <f ca="1">-Assumptions!H35*H16</f>
        <v>-159254.80443278837</v>
      </c>
      <c r="I17" s="13">
        <f ca="1">-Assumptions!I35*I16</f>
        <v>-162261.37685446924</v>
      </c>
      <c r="J17" s="13">
        <f ca="1">-Assumptions!J35*J16</f>
        <v>-165572.25064533309</v>
      </c>
    </row>
    <row r="18" spans="1:26" ht="12.75" customHeight="1" x14ac:dyDescent="0.25">
      <c r="A18" s="6"/>
      <c r="B18" s="6" t="s">
        <v>39</v>
      </c>
      <c r="C18" s="6"/>
      <c r="D18" s="6">
        <f>-'Balance sheet'!D32</f>
        <v>3461600</v>
      </c>
      <c r="E18" s="6">
        <f t="shared" ref="E18:J18" ca="1" si="2">SUM(E15:E17)</f>
        <v>3615114.0526660848</v>
      </c>
      <c r="F18" s="6">
        <f t="shared" ca="1" si="2"/>
        <v>3769710.6412705057</v>
      </c>
      <c r="G18" s="6">
        <f t="shared" ca="1" si="2"/>
        <v>3926355.060189202</v>
      </c>
      <c r="H18" s="6">
        <f t="shared" ca="1" si="2"/>
        <v>4085609.8646219899</v>
      </c>
      <c r="I18" s="6">
        <f t="shared" ca="1" si="2"/>
        <v>4247871.2414764594</v>
      </c>
      <c r="J18" s="6">
        <f t="shared" ca="1" si="2"/>
        <v>4413443.4921217924</v>
      </c>
      <c r="K18" s="6"/>
      <c r="L18" s="6"/>
      <c r="M18" s="6"/>
      <c r="N18" s="6"/>
      <c r="O18" s="6"/>
      <c r="P18" s="6"/>
      <c r="Q18" s="6"/>
      <c r="R18" s="6"/>
      <c r="S18" s="6"/>
      <c r="T18" s="6"/>
      <c r="U18" s="6"/>
      <c r="V18" s="6"/>
      <c r="W18" s="6"/>
      <c r="X18" s="6"/>
      <c r="Y18" s="6"/>
      <c r="Z18" s="6"/>
    </row>
    <row r="19" spans="1:26" ht="12.75" customHeight="1" x14ac:dyDescent="0.25"/>
    <row r="20" spans="1:26" ht="12.75" customHeight="1" x14ac:dyDescent="0.25">
      <c r="B20" s="6" t="s">
        <v>43</v>
      </c>
    </row>
    <row r="21" spans="1:26" ht="12.75" customHeight="1" x14ac:dyDescent="0.25">
      <c r="B21" s="3" t="s">
        <v>36</v>
      </c>
      <c r="D21" s="13"/>
      <c r="E21" s="13">
        <f>D23</f>
        <v>141900</v>
      </c>
      <c r="F21" s="13">
        <f t="shared" ref="F21:J21" si="3">+E23</f>
        <v>136900</v>
      </c>
      <c r="G21" s="13">
        <f t="shared" si="3"/>
        <v>131900</v>
      </c>
      <c r="H21" s="13">
        <f t="shared" si="3"/>
        <v>121900</v>
      </c>
      <c r="I21" s="13">
        <f t="shared" si="3"/>
        <v>111900</v>
      </c>
      <c r="J21" s="13">
        <f t="shared" si="3"/>
        <v>101900</v>
      </c>
    </row>
    <row r="22" spans="1:26" ht="12.75" customHeight="1" x14ac:dyDescent="0.25">
      <c r="A22" s="21"/>
      <c r="B22" s="21" t="s">
        <v>109</v>
      </c>
      <c r="C22" s="21"/>
      <c r="D22" s="21"/>
      <c r="E22" s="21">
        <f>-Assumptions!E38</f>
        <v>-5000</v>
      </c>
      <c r="F22" s="21">
        <f>-Assumptions!F38</f>
        <v>-5000</v>
      </c>
      <c r="G22" s="21">
        <f>-Assumptions!G38</f>
        <v>-10000</v>
      </c>
      <c r="H22" s="21">
        <f>-Assumptions!H38</f>
        <v>-10000</v>
      </c>
      <c r="I22" s="21">
        <f>-Assumptions!I38</f>
        <v>-10000</v>
      </c>
      <c r="J22" s="21">
        <f>-Assumptions!J38</f>
        <v>-10000</v>
      </c>
      <c r="K22" s="21"/>
      <c r="L22" s="21"/>
      <c r="M22" s="21"/>
      <c r="N22" s="21"/>
      <c r="O22" s="21"/>
      <c r="P22" s="21"/>
      <c r="Q22" s="21"/>
      <c r="R22" s="21"/>
      <c r="S22" s="21"/>
      <c r="T22" s="21"/>
      <c r="U22" s="21"/>
      <c r="V22" s="21"/>
      <c r="W22" s="21"/>
      <c r="X22" s="21"/>
      <c r="Y22" s="21"/>
      <c r="Z22" s="21"/>
    </row>
    <row r="23" spans="1:26" ht="12.75" customHeight="1" x14ac:dyDescent="0.25">
      <c r="A23" s="6"/>
      <c r="B23" s="6" t="s">
        <v>39</v>
      </c>
      <c r="C23" s="6"/>
      <c r="D23" s="6">
        <f>-'Balance sheet'!D26</f>
        <v>141900</v>
      </c>
      <c r="E23" s="6">
        <f>SUM(E21:E22)</f>
        <v>136900</v>
      </c>
      <c r="F23" s="6">
        <f t="shared" ref="F23:J23" si="4">SUM(F21:F22)</f>
        <v>131900</v>
      </c>
      <c r="G23" s="6">
        <f t="shared" si="4"/>
        <v>121900</v>
      </c>
      <c r="H23" s="6">
        <f t="shared" si="4"/>
        <v>111900</v>
      </c>
      <c r="I23" s="6">
        <f t="shared" si="4"/>
        <v>101900</v>
      </c>
      <c r="J23" s="6">
        <f t="shared" si="4"/>
        <v>91900</v>
      </c>
      <c r="K23" s="6"/>
      <c r="L23" s="6"/>
      <c r="M23" s="6"/>
      <c r="N23" s="6"/>
      <c r="O23" s="6"/>
      <c r="P23" s="6"/>
      <c r="Q23" s="6"/>
      <c r="R23" s="6"/>
      <c r="S23" s="6"/>
      <c r="T23" s="6"/>
      <c r="U23" s="6"/>
      <c r="V23" s="6"/>
      <c r="W23" s="6"/>
      <c r="X23" s="6"/>
      <c r="Y23" s="6"/>
      <c r="Z23" s="6"/>
    </row>
    <row r="24" spans="1:26" ht="12.75" customHeight="1" x14ac:dyDescent="0.25">
      <c r="A24" s="21"/>
      <c r="B24" s="21" t="s">
        <v>44</v>
      </c>
      <c r="C24" s="21"/>
      <c r="D24" s="21"/>
      <c r="E24" s="21">
        <f>Assumptions!E40*AVERAGE('Side calculations'!D23:E23)</f>
        <v>4879.0000000000009</v>
      </c>
      <c r="F24" s="21">
        <f>Assumptions!F40*AVERAGE('Side calculations'!E23:F23)</f>
        <v>5376</v>
      </c>
      <c r="G24" s="21">
        <f>Assumptions!G40*AVERAGE('Side calculations'!F23:G23)</f>
        <v>5076</v>
      </c>
      <c r="H24" s="21">
        <f>Assumptions!H40*AVERAGE('Side calculations'!G23:H23)</f>
        <v>4676</v>
      </c>
      <c r="I24" s="21">
        <f>Assumptions!I40*AVERAGE('Side calculations'!H23:I23)</f>
        <v>4276</v>
      </c>
      <c r="J24" s="21">
        <f>Assumptions!J40*AVERAGE('Side calculations'!I23:J23)</f>
        <v>3876</v>
      </c>
      <c r="K24" s="21"/>
      <c r="L24" s="21"/>
      <c r="M24" s="21"/>
      <c r="N24" s="21"/>
      <c r="O24" s="21"/>
      <c r="P24" s="21"/>
      <c r="Q24" s="21"/>
      <c r="R24" s="21"/>
      <c r="S24" s="21"/>
      <c r="T24" s="21"/>
      <c r="U24" s="21"/>
      <c r="V24" s="21"/>
      <c r="W24" s="21"/>
      <c r="X24" s="21"/>
      <c r="Y24" s="21"/>
      <c r="Z24" s="21"/>
    </row>
    <row r="25" spans="1:26" ht="12.75" customHeight="1" x14ac:dyDescent="0.25"/>
    <row r="26" spans="1:26" ht="12.75" customHeight="1" x14ac:dyDescent="0.25">
      <c r="B26" s="6" t="s">
        <v>45</v>
      </c>
    </row>
    <row r="27" spans="1:26" ht="12.75" customHeight="1" x14ac:dyDescent="0.25">
      <c r="B27" s="3" t="s">
        <v>36</v>
      </c>
      <c r="D27" s="13"/>
      <c r="E27" s="13">
        <f>D29</f>
        <v>3100</v>
      </c>
      <c r="F27" s="13">
        <f t="shared" ref="F27:J27" si="5">E29</f>
        <v>2600</v>
      </c>
      <c r="G27" s="13">
        <f t="shared" si="5"/>
        <v>2100</v>
      </c>
      <c r="H27" s="13">
        <f t="shared" si="5"/>
        <v>2100</v>
      </c>
      <c r="I27" s="13">
        <f t="shared" si="5"/>
        <v>2100</v>
      </c>
      <c r="J27" s="13">
        <f t="shared" si="5"/>
        <v>2100</v>
      </c>
    </row>
    <row r="28" spans="1:26" ht="12.75" customHeight="1" x14ac:dyDescent="0.25">
      <c r="B28" s="21" t="s">
        <v>109</v>
      </c>
      <c r="D28" s="13"/>
      <c r="E28" s="13">
        <f>-Assumptions!E39</f>
        <v>-500</v>
      </c>
      <c r="F28" s="13">
        <f>-Assumptions!F39</f>
        <v>-500</v>
      </c>
      <c r="G28" s="13">
        <f>-Assumptions!G39</f>
        <v>0</v>
      </c>
      <c r="H28" s="13">
        <f>-Assumptions!H39</f>
        <v>0</v>
      </c>
      <c r="I28" s="13">
        <f>-Assumptions!I39</f>
        <v>0</v>
      </c>
      <c r="J28" s="13">
        <f>+Assumptions!J39</f>
        <v>0</v>
      </c>
    </row>
    <row r="29" spans="1:26" ht="12.75" customHeight="1" x14ac:dyDescent="0.25">
      <c r="A29" s="6"/>
      <c r="B29" s="6" t="s">
        <v>39</v>
      </c>
      <c r="C29" s="6"/>
      <c r="D29" s="6">
        <f>-'Balance sheet'!D21</f>
        <v>3100</v>
      </c>
      <c r="E29" s="6">
        <f>SUM(E27+E28)</f>
        <v>2600</v>
      </c>
      <c r="F29" s="6">
        <f t="shared" ref="F29:J29" si="6">SUM(F27+F28)</f>
        <v>2100</v>
      </c>
      <c r="G29" s="6">
        <f t="shared" si="6"/>
        <v>2100</v>
      </c>
      <c r="H29" s="6">
        <f t="shared" si="6"/>
        <v>2100</v>
      </c>
      <c r="I29" s="6">
        <f t="shared" si="6"/>
        <v>2100</v>
      </c>
      <c r="J29" s="6">
        <f t="shared" si="6"/>
        <v>2100</v>
      </c>
      <c r="K29" s="6"/>
      <c r="L29" s="6"/>
      <c r="M29" s="6"/>
      <c r="N29" s="6"/>
      <c r="O29" s="6"/>
      <c r="P29" s="6"/>
      <c r="Q29" s="6"/>
      <c r="R29" s="6"/>
      <c r="S29" s="6"/>
      <c r="T29" s="6"/>
      <c r="U29" s="6"/>
      <c r="V29" s="6"/>
      <c r="W29" s="6"/>
      <c r="X29" s="6"/>
      <c r="Y29" s="6"/>
      <c r="Z29" s="6"/>
    </row>
    <row r="30" spans="1:26" ht="12.75" customHeight="1" x14ac:dyDescent="0.25">
      <c r="B30" s="21" t="s">
        <v>44</v>
      </c>
      <c r="E30" s="3">
        <f>Assumptions!E41*AVERAGE('Side calculations'!D29:E29)</f>
        <v>57</v>
      </c>
      <c r="F30" s="55">
        <f>Assumptions!F41*AVERAGE('Side calculations'!E29:F29)</f>
        <v>58.75</v>
      </c>
      <c r="G30" s="55">
        <f>Assumptions!G41*AVERAGE('Side calculations'!F29:G29)</f>
        <v>52.5</v>
      </c>
      <c r="H30" s="55">
        <f>Assumptions!H41*AVERAGE('Side calculations'!G29:H29)</f>
        <v>52.5</v>
      </c>
      <c r="I30" s="55">
        <f>Assumptions!I41*AVERAGE('Side calculations'!H29:I29)</f>
        <v>52.5</v>
      </c>
      <c r="J30" s="55">
        <f>Assumptions!J41*AVERAGE('Side calculations'!I29:J29)</f>
        <v>52.5</v>
      </c>
    </row>
    <row r="31" spans="1:26" ht="12.75" customHeight="1" x14ac:dyDescent="0.25"/>
    <row r="32" spans="1:26" ht="12.75" customHeight="1" x14ac:dyDescent="0.25">
      <c r="A32" s="6"/>
      <c r="B32" s="6" t="s">
        <v>46</v>
      </c>
      <c r="C32" s="6">
        <f>'Balance sheet'!C10+'Balance sheet'!C11+'Balance sheet'!C12-'Balance sheet'!C22-'Balance sheet'!C23</f>
        <v>5506300</v>
      </c>
      <c r="D32" s="6">
        <f>'Balance sheet'!D10+'Balance sheet'!D11+'Balance sheet'!D12-'Balance sheet'!D22-'Balance sheet'!D23</f>
        <v>5675100</v>
      </c>
      <c r="E32" s="6">
        <f>'Balance sheet'!E10+'Balance sheet'!E11+'Balance sheet'!E12-'Balance sheet'!E22-'Balance sheet'!E23</f>
        <v>5566997.5879999995</v>
      </c>
      <c r="F32" s="6">
        <f>'Balance sheet'!F10+'Balance sheet'!F11+'Balance sheet'!F12-'Balance sheet'!F22-'Balance sheet'!F23</f>
        <v>5622667.5638800003</v>
      </c>
      <c r="G32" s="6">
        <f>'Balance sheet'!G10+'Balance sheet'!G11+'Balance sheet'!G12-'Balance sheet'!G22-'Balance sheet'!G23</f>
        <v>5678894.2395187998</v>
      </c>
      <c r="H32" s="6">
        <f>'Balance sheet'!H10+'Balance sheet'!H11+'Balance sheet'!H12-'Balance sheet'!H22-'Balance sheet'!H23</f>
        <v>5735683.1819139896</v>
      </c>
      <c r="I32" s="6">
        <f>'Balance sheet'!I10+'Balance sheet'!I11+'Balance sheet'!I12-'Balance sheet'!I22-'Balance sheet'!I23</f>
        <v>5793040.0137331281</v>
      </c>
      <c r="J32" s="6">
        <f>'Balance sheet'!J10+'Balance sheet'!J11+'Balance sheet'!J12-'Balance sheet'!J22-'Balance sheet'!J23</f>
        <v>5850970.4138704594</v>
      </c>
      <c r="K32" s="6"/>
      <c r="L32" s="6"/>
      <c r="M32" s="6"/>
      <c r="N32" s="6"/>
      <c r="O32" s="6"/>
      <c r="P32" s="6"/>
      <c r="Q32" s="6"/>
      <c r="R32" s="6"/>
      <c r="S32" s="6"/>
      <c r="T32" s="6"/>
      <c r="U32" s="6"/>
      <c r="V32" s="6"/>
      <c r="W32" s="6"/>
      <c r="X32" s="6"/>
      <c r="Y32" s="6"/>
      <c r="Z32" s="6"/>
    </row>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0866141732283472" right="0.70866141732283472" top="0.74803149606299213" bottom="0.74803149606299213" header="0" footer="0"/>
  <pageSetup paperSize="9" scale="61" orientation="portrait"/>
  <headerFooter>
    <oddHeader>&amp;L© ACW Consulting 2016&amp;R&amp;F</oddHeader>
    <oddFooter>&amp;L© ACW Consulting 2016&amp;R&amp;F&amp;A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zoomScale="80" zoomScaleNormal="80" workbookViewId="0">
      <selection activeCell="E23" sqref="E23"/>
    </sheetView>
  </sheetViews>
  <sheetFormatPr defaultColWidth="12.6640625" defaultRowHeight="15" customHeight="1" x14ac:dyDescent="0.25"/>
  <cols>
    <col min="1" max="1" width="1.6640625" customWidth="1"/>
    <col min="2" max="2" width="33.33203125" customWidth="1"/>
    <col min="3" max="3" width="13.44140625" customWidth="1"/>
    <col min="4" max="4" width="12.33203125" bestFit="1" customWidth="1"/>
    <col min="5" max="10" width="11.6640625" customWidth="1"/>
    <col min="11" max="26" width="8.6640625" customWidth="1"/>
  </cols>
  <sheetData>
    <row r="1" spans="1:26" ht="12.75" customHeight="1" x14ac:dyDescent="0.3">
      <c r="A1" s="1" t="str">
        <f>company&amp;" Income Statement"</f>
        <v>BELLWAY P L C Income Statement</v>
      </c>
      <c r="B1" s="1"/>
      <c r="C1" s="1"/>
      <c r="D1" s="1"/>
      <c r="E1" s="1"/>
      <c r="F1" s="1"/>
      <c r="G1" s="1"/>
      <c r="H1" s="1"/>
      <c r="I1" s="1"/>
      <c r="J1" s="1"/>
    </row>
    <row r="2" spans="1:26" ht="12.75" customHeight="1" x14ac:dyDescent="0.3">
      <c r="A2" s="2" t="str">
        <f>"in "&amp;currency&amp;" thousands"</f>
        <v>in GBP thousands</v>
      </c>
      <c r="B2" s="1"/>
      <c r="C2" s="1"/>
      <c r="D2" s="1"/>
      <c r="E2" s="1"/>
      <c r="F2" s="1"/>
      <c r="G2" s="1"/>
      <c r="H2" s="1"/>
      <c r="I2" s="1"/>
      <c r="J2" s="1"/>
    </row>
    <row r="3" spans="1:26" ht="12.75" customHeight="1" x14ac:dyDescent="0.25"/>
    <row r="4" spans="1:26" ht="12.75" customHeight="1" x14ac:dyDescent="0.25"/>
    <row r="5" spans="1:26" ht="12.75" customHeight="1" x14ac:dyDescent="0.25">
      <c r="A5" s="6" t="s">
        <v>17</v>
      </c>
    </row>
    <row r="6" spans="1:26" ht="12.75" customHeight="1" x14ac:dyDescent="0.25">
      <c r="B6" s="22"/>
      <c r="C6" s="23"/>
      <c r="D6" s="23"/>
      <c r="E6" s="23"/>
      <c r="F6" s="23"/>
      <c r="G6" s="23"/>
      <c r="H6" s="24"/>
    </row>
    <row r="7" spans="1:26" ht="12.75" customHeight="1" x14ac:dyDescent="0.25">
      <c r="C7" s="10">
        <f>Assumptions!C10</f>
        <v>2022</v>
      </c>
      <c r="D7" s="10">
        <f>Assumptions!D10</f>
        <v>2023</v>
      </c>
      <c r="E7" s="10">
        <f>Assumptions!E10</f>
        <v>2024</v>
      </c>
      <c r="F7" s="10">
        <f>Assumptions!F10</f>
        <v>2025</v>
      </c>
      <c r="G7" s="10">
        <f>Assumptions!G10</f>
        <v>2026</v>
      </c>
      <c r="H7" s="10">
        <f>Assumptions!H10</f>
        <v>2027</v>
      </c>
      <c r="I7" s="10">
        <f>Assumptions!I10</f>
        <v>2028</v>
      </c>
      <c r="J7" s="10">
        <f>Assumptions!J10</f>
        <v>2029</v>
      </c>
    </row>
    <row r="8" spans="1:26" ht="12.75" customHeight="1" x14ac:dyDescent="0.25">
      <c r="C8" s="25"/>
      <c r="D8" s="25"/>
      <c r="E8" s="26"/>
      <c r="F8" s="26"/>
      <c r="G8" s="26"/>
      <c r="H8" s="26"/>
    </row>
    <row r="9" spans="1:26" ht="12.75" customHeight="1" x14ac:dyDescent="0.25">
      <c r="B9" s="3" t="s">
        <v>47</v>
      </c>
      <c r="C9" s="20">
        <v>3536800</v>
      </c>
      <c r="D9" s="20">
        <v>3406600</v>
      </c>
      <c r="E9" s="21">
        <f>(1+Assumptions!E11)*'Income Statement'!D9</f>
        <v>3440666</v>
      </c>
      <c r="F9" s="21">
        <f>(1+Assumptions!F11)*'Income Statement'!E9</f>
        <v>3475072.66</v>
      </c>
      <c r="G9" s="21">
        <f>(1+Assumptions!G11)*'Income Statement'!F9</f>
        <v>3509823.3866000003</v>
      </c>
      <c r="H9" s="21">
        <f>(1+Assumptions!H11)*'Income Statement'!G9</f>
        <v>3544921.6204660004</v>
      </c>
      <c r="I9" s="21">
        <f>(1+Assumptions!I11)*'Income Statement'!H9</f>
        <v>3580370.8366706604</v>
      </c>
      <c r="J9" s="21">
        <f>(1+Assumptions!J11)*'Income Statement'!I9</f>
        <v>3616174.5450373669</v>
      </c>
    </row>
    <row r="10" spans="1:26" ht="12.75" customHeight="1" x14ac:dyDescent="0.25">
      <c r="B10" s="3" t="s">
        <v>48</v>
      </c>
      <c r="C10" s="20">
        <v>-3094000</v>
      </c>
      <c r="D10" s="20">
        <f>-2757900</f>
        <v>-2757900</v>
      </c>
      <c r="E10" s="21">
        <f>-Assumptions!E12* 'Income Statement'!E9</f>
        <v>-2890159.44</v>
      </c>
      <c r="F10" s="21">
        <f>-Assumptions!F12* 'Income Statement'!F9</f>
        <v>-2919061.0344000002</v>
      </c>
      <c r="G10" s="21">
        <f>-Assumptions!G12* 'Income Statement'!G9</f>
        <v>-2948251.6447439999</v>
      </c>
      <c r="H10" s="21">
        <f>-Assumptions!H12* 'Income Statement'!H9</f>
        <v>-2977734.1611914402</v>
      </c>
      <c r="I10" s="21">
        <f>-Assumptions!I12* 'Income Statement'!I9</f>
        <v>-3007511.5028033545</v>
      </c>
      <c r="J10" s="21">
        <f>-Assumptions!J12* 'Income Statement'!J9</f>
        <v>-3037586.617831388</v>
      </c>
    </row>
    <row r="11" spans="1:26" ht="12.75" customHeight="1" x14ac:dyDescent="0.25">
      <c r="A11" s="6"/>
      <c r="B11" s="6" t="s">
        <v>49</v>
      </c>
      <c r="C11" s="6">
        <f t="shared" ref="C11:D11" si="0">SUM(C9:C10)</f>
        <v>442800</v>
      </c>
      <c r="D11" s="6">
        <f t="shared" si="0"/>
        <v>648700</v>
      </c>
      <c r="E11" s="6">
        <f>E9+E10</f>
        <v>550506.56000000006</v>
      </c>
      <c r="F11" s="6">
        <f t="shared" ref="F11:J11" si="1">F9+F10</f>
        <v>556011.62559999991</v>
      </c>
      <c r="G11" s="6">
        <f t="shared" si="1"/>
        <v>561571.74185600039</v>
      </c>
      <c r="H11" s="6">
        <f t="shared" si="1"/>
        <v>567187.45927456021</v>
      </c>
      <c r="I11" s="6">
        <f t="shared" si="1"/>
        <v>572859.33386730589</v>
      </c>
      <c r="J11" s="6">
        <f t="shared" si="1"/>
        <v>578587.92720597889</v>
      </c>
      <c r="K11" s="6"/>
      <c r="L11" s="6"/>
      <c r="M11" s="6"/>
      <c r="N11" s="6"/>
      <c r="O11" s="6"/>
      <c r="P11" s="6"/>
      <c r="Q11" s="6"/>
      <c r="R11" s="6"/>
      <c r="S11" s="6"/>
      <c r="T11" s="6"/>
      <c r="U11" s="6"/>
      <c r="V11" s="6"/>
      <c r="W11" s="6"/>
      <c r="X11" s="6"/>
      <c r="Y11" s="6"/>
      <c r="Z11" s="6"/>
    </row>
    <row r="12" spans="1:26" ht="12.75" customHeight="1" x14ac:dyDescent="0.25">
      <c r="A12" s="27"/>
      <c r="B12" s="27" t="s">
        <v>50</v>
      </c>
      <c r="C12" s="28">
        <f t="shared" ref="C12:D12" si="2">C11/C9</f>
        <v>0.12519791902284552</v>
      </c>
      <c r="D12" s="28">
        <f t="shared" si="2"/>
        <v>0.19042447014618682</v>
      </c>
      <c r="E12" s="28">
        <f>E11/E9</f>
        <v>0.16</v>
      </c>
      <c r="F12" s="28">
        <f t="shared" ref="F12:J12" si="3">F11/F9</f>
        <v>0.15999999999999998</v>
      </c>
      <c r="G12" s="28">
        <f t="shared" si="3"/>
        <v>0.16000000000000009</v>
      </c>
      <c r="H12" s="28">
        <f t="shared" si="3"/>
        <v>0.16000000000000003</v>
      </c>
      <c r="I12" s="28">
        <f t="shared" si="3"/>
        <v>0.16000000000000006</v>
      </c>
      <c r="J12" s="28">
        <f t="shared" si="3"/>
        <v>0.16000000000000006</v>
      </c>
    </row>
    <row r="13" spans="1:26" ht="12.75" customHeight="1" x14ac:dyDescent="0.25"/>
    <row r="14" spans="1:26" ht="12.75" customHeight="1" x14ac:dyDescent="0.25">
      <c r="B14" s="3" t="s">
        <v>99</v>
      </c>
      <c r="C14" s="20">
        <v>-159100</v>
      </c>
      <c r="D14" s="20">
        <v>-172500</v>
      </c>
      <c r="E14" s="54">
        <f>-Assumptions!E13*E9</f>
        <v>-172033.30000000002</v>
      </c>
      <c r="F14" s="54">
        <f>-Assumptions!F13*F9</f>
        <v>-173753.63300000003</v>
      </c>
      <c r="G14" s="54">
        <f>-Assumptions!G13*G9</f>
        <v>-175491.16933000003</v>
      </c>
      <c r="H14" s="54">
        <f>-Assumptions!H13*H9</f>
        <v>-177246.08102330004</v>
      </c>
      <c r="I14" s="54">
        <f>-Assumptions!I13*I9</f>
        <v>-179018.54183353303</v>
      </c>
      <c r="J14" s="54">
        <f>-Assumptions!J13*J9</f>
        <v>-180808.72725186835</v>
      </c>
    </row>
    <row r="15" spans="1:26" ht="12.75" customHeight="1" x14ac:dyDescent="0.25">
      <c r="B15" s="13" t="s">
        <v>100</v>
      </c>
      <c r="C15" s="20">
        <v>40700</v>
      </c>
      <c r="D15" s="20">
        <v>33700</v>
      </c>
      <c r="E15" s="21">
        <f>Assumptions!E14</f>
        <v>30000</v>
      </c>
      <c r="F15" s="21">
        <f>Assumptions!F14</f>
        <v>30000</v>
      </c>
      <c r="G15" s="21">
        <f>Assumptions!G14</f>
        <v>30000</v>
      </c>
      <c r="H15" s="21">
        <f>Assumptions!H14</f>
        <v>30000</v>
      </c>
      <c r="I15" s="21">
        <f>Assumptions!I14</f>
        <v>30000</v>
      </c>
      <c r="J15" s="21">
        <f>Assumptions!J14</f>
        <v>30000</v>
      </c>
    </row>
    <row r="16" spans="1:26" ht="12.75" customHeight="1" x14ac:dyDescent="0.25">
      <c r="A16" s="6"/>
      <c r="B16" s="3" t="s">
        <v>115</v>
      </c>
      <c r="C16" s="42">
        <v>0</v>
      </c>
      <c r="D16" s="42">
        <v>0</v>
      </c>
      <c r="E16" s="42">
        <v>0</v>
      </c>
      <c r="F16" s="42">
        <v>0</v>
      </c>
      <c r="G16" s="42">
        <v>0</v>
      </c>
      <c r="H16" s="42">
        <v>0</v>
      </c>
      <c r="I16" s="42">
        <v>0</v>
      </c>
      <c r="J16" s="42">
        <v>0</v>
      </c>
      <c r="K16" s="6"/>
      <c r="L16" s="6"/>
      <c r="M16" s="6"/>
      <c r="N16" s="6"/>
      <c r="O16" s="6"/>
      <c r="P16" s="6"/>
      <c r="Q16" s="6"/>
      <c r="R16" s="6"/>
      <c r="S16" s="6"/>
      <c r="T16" s="6"/>
      <c r="U16" s="6"/>
      <c r="V16" s="6"/>
      <c r="W16" s="6"/>
      <c r="X16" s="6"/>
      <c r="Y16" s="6"/>
      <c r="Z16" s="6"/>
    </row>
    <row r="17" spans="1:26" ht="12.75" customHeight="1" x14ac:dyDescent="0.25">
      <c r="A17" s="6"/>
      <c r="B17" s="6" t="s">
        <v>51</v>
      </c>
      <c r="C17" s="6">
        <f>C11+SUM(C14:C16)</f>
        <v>324400</v>
      </c>
      <c r="D17" s="6">
        <f>D11+SUM(D14:D16)</f>
        <v>509900</v>
      </c>
      <c r="E17" s="6">
        <f>E11+SUM(E14:E16)</f>
        <v>408473.26</v>
      </c>
      <c r="F17" s="6">
        <f t="shared" ref="F17:J17" si="4">F11+SUM(F14:F16)</f>
        <v>412257.99259999988</v>
      </c>
      <c r="G17" s="6">
        <f t="shared" si="4"/>
        <v>416080.57252600032</v>
      </c>
      <c r="H17" s="6">
        <f t="shared" si="4"/>
        <v>419941.37825126015</v>
      </c>
      <c r="I17" s="6">
        <f t="shared" si="4"/>
        <v>423840.79203377286</v>
      </c>
      <c r="J17" s="6">
        <f t="shared" si="4"/>
        <v>427779.19995411055</v>
      </c>
      <c r="K17" s="6"/>
      <c r="L17" s="6"/>
      <c r="M17" s="6"/>
      <c r="N17" s="6"/>
      <c r="O17" s="6"/>
      <c r="P17" s="6"/>
      <c r="Q17" s="6"/>
      <c r="R17" s="6"/>
      <c r="S17" s="6"/>
      <c r="T17" s="6"/>
      <c r="U17" s="6"/>
      <c r="V17" s="6"/>
      <c r="W17" s="6"/>
      <c r="X17" s="6"/>
      <c r="Y17" s="6"/>
      <c r="Z17" s="6"/>
    </row>
    <row r="18" spans="1:26" ht="12.75" customHeight="1" x14ac:dyDescent="0.25">
      <c r="A18" s="6"/>
      <c r="B18" s="27" t="s">
        <v>50</v>
      </c>
      <c r="C18" s="28">
        <f>C17/C9</f>
        <v>9.1721330015833519E-2</v>
      </c>
      <c r="D18" s="28">
        <f>D17/D9</f>
        <v>0.14968003287735573</v>
      </c>
      <c r="E18" s="28">
        <f t="shared" ref="E18:J18" si="5">E17/E9</f>
        <v>0.11871924214672393</v>
      </c>
      <c r="F18" s="28">
        <f t="shared" si="5"/>
        <v>0.1186329130165583</v>
      </c>
      <c r="G18" s="28">
        <f t="shared" si="5"/>
        <v>0.11854743863025587</v>
      </c>
      <c r="H18" s="28">
        <f t="shared" si="5"/>
        <v>0.11846281052500575</v>
      </c>
      <c r="I18" s="28">
        <f t="shared" si="5"/>
        <v>0.1183790203217879</v>
      </c>
      <c r="J18" s="28">
        <f t="shared" si="5"/>
        <v>0.11829605972454246</v>
      </c>
      <c r="K18" s="6"/>
      <c r="L18" s="6"/>
      <c r="M18" s="6"/>
      <c r="N18" s="6"/>
      <c r="O18" s="6"/>
      <c r="P18" s="6"/>
      <c r="Q18" s="6"/>
      <c r="R18" s="6"/>
      <c r="S18" s="6"/>
      <c r="T18" s="6"/>
      <c r="U18" s="6"/>
      <c r="V18" s="6"/>
      <c r="W18" s="6"/>
      <c r="X18" s="6"/>
      <c r="Y18" s="6"/>
      <c r="Z18" s="6"/>
    </row>
    <row r="19" spans="1:26" ht="12.75" customHeight="1" x14ac:dyDescent="0.25">
      <c r="A19" s="6"/>
      <c r="B19" s="27"/>
      <c r="C19" s="28"/>
      <c r="D19" s="28"/>
      <c r="E19" s="28"/>
      <c r="F19" s="28"/>
      <c r="G19" s="28"/>
      <c r="H19" s="28"/>
      <c r="I19" s="28"/>
      <c r="J19" s="28"/>
      <c r="K19" s="6"/>
      <c r="L19" s="6"/>
      <c r="M19" s="6"/>
      <c r="N19" s="6"/>
      <c r="O19" s="6"/>
      <c r="P19" s="6"/>
      <c r="Q19" s="6"/>
      <c r="R19" s="6"/>
      <c r="S19" s="6"/>
      <c r="T19" s="6"/>
      <c r="U19" s="6"/>
      <c r="V19" s="6"/>
      <c r="W19" s="6"/>
      <c r="X19" s="6"/>
      <c r="Y19" s="6"/>
      <c r="Z19" s="6"/>
    </row>
    <row r="20" spans="1:26" ht="12.75" customHeight="1" x14ac:dyDescent="0.25">
      <c r="A20" s="27"/>
      <c r="B20" s="21" t="s">
        <v>38</v>
      </c>
      <c r="C20" s="20">
        <v>-6100</v>
      </c>
      <c r="D20" s="20">
        <v>-6000</v>
      </c>
      <c r="E20" s="21">
        <f ca="1">--'Side calculations'!E11</f>
        <v>-14566.108732394367</v>
      </c>
      <c r="F20" s="21">
        <f ca="1">'Side calculations'!F11</f>
        <v>-20740.74691577068</v>
      </c>
      <c r="G20" s="21">
        <f ca="1">'Side calculations'!G11</f>
        <v>-25298.74214192302</v>
      </c>
      <c r="H20" s="21">
        <f ca="1">'Side calculations'!H11</f>
        <v>-28722.449581829718</v>
      </c>
      <c r="I20" s="21">
        <f ca="1">'Side calculations'!I11</f>
        <v>-31351.63983900737</v>
      </c>
      <c r="J20" s="21">
        <f ca="1">'Side calculations'!J11</f>
        <v>-33425.67352701354</v>
      </c>
    </row>
    <row r="21" spans="1:26" ht="12.75" customHeight="1" x14ac:dyDescent="0.25">
      <c r="B21" s="21" t="s">
        <v>52</v>
      </c>
      <c r="C21" s="20">
        <v>0</v>
      </c>
      <c r="D21" s="20">
        <v>0</v>
      </c>
      <c r="E21" s="21">
        <f>Assumptions!E17</f>
        <v>0</v>
      </c>
      <c r="F21" s="21">
        <f>Assumptions!F17</f>
        <v>0</v>
      </c>
      <c r="G21" s="21">
        <f>Assumptions!G17</f>
        <v>0</v>
      </c>
      <c r="H21" s="21">
        <f>Assumptions!H17</f>
        <v>0</v>
      </c>
      <c r="I21" s="21">
        <f>Assumptions!I17</f>
        <v>0</v>
      </c>
      <c r="J21" s="21">
        <f>Assumptions!J17</f>
        <v>0</v>
      </c>
    </row>
    <row r="22" spans="1:26" ht="12.75" customHeight="1" x14ac:dyDescent="0.25">
      <c r="A22" s="6"/>
      <c r="B22" s="6" t="s">
        <v>53</v>
      </c>
      <c r="C22" s="6">
        <f>C17+C20+C21</f>
        <v>318300</v>
      </c>
      <c r="D22" s="6">
        <f>D17+D20+D21</f>
        <v>503900</v>
      </c>
      <c r="E22" s="6">
        <f ca="1">E17+E20+E21</f>
        <v>397654.41126760578</v>
      </c>
      <c r="F22" s="6">
        <f t="shared" ref="F22:J22" ca="1" si="6">F17+F20+F21</f>
        <v>399124.18348422961</v>
      </c>
      <c r="G22" s="6">
        <f t="shared" ca="1" si="6"/>
        <v>402363.48686607723</v>
      </c>
      <c r="H22" s="6">
        <f t="shared" ca="1" si="6"/>
        <v>406893.02400633041</v>
      </c>
      <c r="I22" s="6">
        <f t="shared" ca="1" si="6"/>
        <v>412376.14322091598</v>
      </c>
      <c r="J22" s="6">
        <f t="shared" ca="1" si="6"/>
        <v>418576.66519410827</v>
      </c>
      <c r="K22" s="6"/>
      <c r="L22" s="6"/>
      <c r="M22" s="6"/>
      <c r="N22" s="6"/>
      <c r="O22" s="6"/>
      <c r="P22" s="6"/>
      <c r="Q22" s="6"/>
      <c r="R22" s="6"/>
      <c r="S22" s="6"/>
      <c r="T22" s="6"/>
      <c r="U22" s="6"/>
      <c r="V22" s="6"/>
      <c r="W22" s="6"/>
      <c r="X22" s="6"/>
      <c r="Y22" s="6"/>
      <c r="Z22" s="6"/>
    </row>
    <row r="23" spans="1:26" ht="12.75" customHeight="1" x14ac:dyDescent="0.25">
      <c r="A23" s="27"/>
      <c r="B23" s="27" t="s">
        <v>50</v>
      </c>
      <c r="C23" s="28">
        <f>C22/C9</f>
        <v>8.9996607102465501E-2</v>
      </c>
      <c r="D23" s="28">
        <f>D22/D9</f>
        <v>0.14791874596371749</v>
      </c>
      <c r="E23" s="28">
        <f t="shared" ref="E23:J23" ca="1" si="7">E22/E9</f>
        <v>0.11444175011701789</v>
      </c>
      <c r="F23" s="28">
        <f t="shared" ca="1" si="7"/>
        <v>0.11261248899258587</v>
      </c>
      <c r="G23" s="28">
        <f t="shared" ca="1" si="7"/>
        <v>0.11130044627491661</v>
      </c>
      <c r="H23" s="28">
        <f t="shared" ca="1" si="7"/>
        <v>0.11034646248762549</v>
      </c>
      <c r="I23" s="28">
        <f t="shared" ca="1" si="7"/>
        <v>0.10964063234721352</v>
      </c>
      <c r="J23" s="28">
        <f t="shared" ca="1" si="7"/>
        <v>0.10910705687292292</v>
      </c>
    </row>
    <row r="24" spans="1:26" ht="12.75" customHeight="1" x14ac:dyDescent="0.25">
      <c r="A24" s="27"/>
      <c r="B24" s="27"/>
      <c r="C24" s="28"/>
      <c r="D24" s="28"/>
      <c r="E24" s="28"/>
      <c r="F24" s="28"/>
      <c r="G24" s="28"/>
      <c r="H24" s="28"/>
      <c r="I24" s="28"/>
      <c r="J24" s="28"/>
    </row>
    <row r="25" spans="1:26" ht="12.75" customHeight="1" x14ac:dyDescent="0.25">
      <c r="A25" s="27"/>
      <c r="B25" s="21" t="s">
        <v>54</v>
      </c>
      <c r="C25" s="20">
        <v>1600</v>
      </c>
      <c r="D25" s="20">
        <v>9900</v>
      </c>
      <c r="E25" s="21">
        <f ca="1">Assumptions!E18 *'Balance sheet'!E9</f>
        <v>16652.395841954367</v>
      </c>
      <c r="F25" s="21">
        <f ca="1">Assumptions!F18 *'Balance sheet'!F9</f>
        <v>18568.136127560119</v>
      </c>
      <c r="G25" s="21">
        <f ca="1">Assumptions!G18 *'Balance sheet'!G9</f>
        <v>20483.463583778674</v>
      </c>
      <c r="H25" s="21">
        <f ca="1">Assumptions!H18 *'Balance sheet'!H9</f>
        <v>22514.954481105236</v>
      </c>
      <c r="I25" s="21">
        <f ca="1">Assumptions!I18 *'Balance sheet'!I9</f>
        <v>24649.361724335282</v>
      </c>
      <c r="J25" s="21">
        <f ca="1">Assumptions!J18 *'Balance sheet'!J9</f>
        <v>26877.836526779971</v>
      </c>
    </row>
    <row r="26" spans="1:26" ht="12.75" customHeight="1" x14ac:dyDescent="0.25">
      <c r="B26" s="3" t="s">
        <v>44</v>
      </c>
      <c r="C26" s="20">
        <v>-15700</v>
      </c>
      <c r="D26" s="20">
        <v>-30800</v>
      </c>
      <c r="E26" s="21">
        <f>-'Side calculations'!E24-'Side calculations'!E30</f>
        <v>-4936.0000000000009</v>
      </c>
      <c r="F26" s="21">
        <f>-'Side calculations'!F24-'Side calculations'!F30</f>
        <v>-5434.75</v>
      </c>
      <c r="G26" s="21">
        <f>-'Side calculations'!G24-'Side calculations'!G30</f>
        <v>-5128.5</v>
      </c>
      <c r="H26" s="21">
        <f>-'Side calculations'!H24-'Side calculations'!H30</f>
        <v>-4728.5</v>
      </c>
      <c r="I26" s="21">
        <f>-'Side calculations'!I24-'Side calculations'!I30</f>
        <v>-4328.5</v>
      </c>
      <c r="J26" s="21">
        <f>-'Side calculations'!J24-'Side calculations'!J30</f>
        <v>-3928.5</v>
      </c>
    </row>
    <row r="27" spans="1:26" ht="12.75" customHeight="1" x14ac:dyDescent="0.25">
      <c r="A27" s="6"/>
      <c r="B27" s="6" t="s">
        <v>55</v>
      </c>
      <c r="C27" s="6">
        <f t="shared" ref="C27:J27" si="8">C22+C25+C26</f>
        <v>304200</v>
      </c>
      <c r="D27" s="6">
        <f t="shared" si="8"/>
        <v>483000</v>
      </c>
      <c r="E27" s="6">
        <f t="shared" ca="1" si="8"/>
        <v>409370.80710956018</v>
      </c>
      <c r="F27" s="6">
        <f t="shared" ca="1" si="8"/>
        <v>412257.56961178972</v>
      </c>
      <c r="G27" s="6">
        <f t="shared" ca="1" si="8"/>
        <v>417718.45044985588</v>
      </c>
      <c r="H27" s="6">
        <f t="shared" ca="1" si="8"/>
        <v>424679.47848743567</v>
      </c>
      <c r="I27" s="6">
        <f t="shared" ca="1" si="8"/>
        <v>432697.00494525128</v>
      </c>
      <c r="J27" s="6">
        <f t="shared" ca="1" si="8"/>
        <v>441526.00172088825</v>
      </c>
      <c r="K27" s="6"/>
      <c r="L27" s="6"/>
      <c r="M27" s="6"/>
      <c r="N27" s="6"/>
      <c r="O27" s="6"/>
      <c r="P27" s="6"/>
      <c r="Q27" s="6"/>
      <c r="R27" s="6"/>
      <c r="S27" s="6"/>
      <c r="T27" s="6"/>
      <c r="U27" s="6"/>
      <c r="V27" s="6"/>
      <c r="W27" s="6"/>
      <c r="X27" s="6"/>
      <c r="Y27" s="6"/>
      <c r="Z27" s="6"/>
    </row>
    <row r="28" spans="1:26" ht="12.75" customHeight="1" x14ac:dyDescent="0.25"/>
    <row r="29" spans="1:26" ht="12.75" customHeight="1" x14ac:dyDescent="0.25">
      <c r="B29" s="3" t="s">
        <v>56</v>
      </c>
      <c r="C29" s="20">
        <v>-61600</v>
      </c>
      <c r="D29" s="20">
        <v>-118000</v>
      </c>
      <c r="E29" s="21">
        <f ca="1">+Assumptions!E19*'Income Statement'!E27*-1</f>
        <v>-102342.70177739004</v>
      </c>
      <c r="F29" s="21">
        <f ca="1">+Assumptions!F19*'Income Statement'!F27*-1</f>
        <v>-103064.39240294743</v>
      </c>
      <c r="G29" s="21">
        <f ca="1">+Assumptions!G19*'Income Statement'!G27*-1</f>
        <v>-104429.61261246397</v>
      </c>
      <c r="H29" s="21">
        <f ca="1">+Assumptions!H19*'Income Statement'!H27*-1</f>
        <v>-106169.86962185892</v>
      </c>
      <c r="I29" s="21">
        <f ca="1">+Assumptions!I19*'Income Statement'!I27*-1</f>
        <v>-108174.25123631282</v>
      </c>
      <c r="J29" s="21">
        <f ca="1">+Assumptions!J19*'Income Statement'!J27*-1</f>
        <v>-110381.50043022206</v>
      </c>
    </row>
    <row r="30" spans="1:26" ht="12.75" customHeight="1" x14ac:dyDescent="0.25">
      <c r="A30" s="6"/>
      <c r="B30" s="6" t="s">
        <v>57</v>
      </c>
      <c r="C30" s="6">
        <f t="shared" ref="C30:J30" si="9">C27+C29</f>
        <v>242600</v>
      </c>
      <c r="D30" s="6">
        <f t="shared" si="9"/>
        <v>365000</v>
      </c>
      <c r="E30" s="6">
        <f t="shared" ca="1" si="9"/>
        <v>307028.10533217015</v>
      </c>
      <c r="F30" s="6">
        <f t="shared" ca="1" si="9"/>
        <v>309193.1772088423</v>
      </c>
      <c r="G30" s="6">
        <f t="shared" ca="1" si="9"/>
        <v>313288.83783739188</v>
      </c>
      <c r="H30" s="6">
        <f t="shared" ca="1" si="9"/>
        <v>318509.60886557674</v>
      </c>
      <c r="I30" s="6">
        <f t="shared" ca="1" si="9"/>
        <v>324522.75370893849</v>
      </c>
      <c r="J30" s="6">
        <f t="shared" ca="1" si="9"/>
        <v>331144.50129066617</v>
      </c>
      <c r="K30" s="6"/>
      <c r="L30" s="6"/>
      <c r="M30" s="6"/>
      <c r="N30" s="6"/>
      <c r="O30" s="6"/>
      <c r="P30" s="6"/>
      <c r="Q30" s="6"/>
      <c r="R30" s="6"/>
      <c r="S30" s="6"/>
      <c r="T30" s="6"/>
      <c r="U30" s="6"/>
      <c r="V30" s="6"/>
      <c r="W30" s="6"/>
      <c r="X30" s="6"/>
      <c r="Y30" s="6"/>
      <c r="Z30" s="6"/>
    </row>
    <row r="31" spans="1:26" ht="12.75" customHeight="1" x14ac:dyDescent="0.25">
      <c r="B31" s="27"/>
      <c r="C31" s="28"/>
      <c r="D31" s="28"/>
      <c r="E31" s="28"/>
      <c r="F31" s="28"/>
      <c r="G31" s="28"/>
      <c r="H31" s="28"/>
      <c r="I31" s="28"/>
      <c r="J31" s="28"/>
    </row>
    <row r="32" spans="1:26" ht="12.75" customHeight="1" x14ac:dyDescent="0.25">
      <c r="B32" s="3" t="s">
        <v>58</v>
      </c>
      <c r="C32" s="20">
        <v>0</v>
      </c>
      <c r="D32" s="20">
        <v>0</v>
      </c>
      <c r="E32" s="20">
        <v>0</v>
      </c>
      <c r="F32" s="20">
        <v>0</v>
      </c>
      <c r="G32" s="20">
        <v>0</v>
      </c>
      <c r="H32" s="20">
        <v>0</v>
      </c>
      <c r="I32" s="20">
        <v>0</v>
      </c>
      <c r="J32" s="20">
        <v>0</v>
      </c>
    </row>
    <row r="33" spans="2:10" ht="12.75" customHeight="1" x14ac:dyDescent="0.25">
      <c r="B33" s="6" t="s">
        <v>41</v>
      </c>
      <c r="C33" s="6">
        <f t="shared" ref="C33:D33" si="10">C30+C32</f>
        <v>242600</v>
      </c>
      <c r="D33" s="6">
        <f t="shared" si="10"/>
        <v>365000</v>
      </c>
      <c r="E33" s="6">
        <f ca="1">E30+E32</f>
        <v>307028.10533217015</v>
      </c>
      <c r="F33" s="6">
        <f t="shared" ref="F33:J33" ca="1" si="11">F30+F32</f>
        <v>309193.1772088423</v>
      </c>
      <c r="G33" s="6">
        <f t="shared" ca="1" si="11"/>
        <v>313288.83783739188</v>
      </c>
      <c r="H33" s="6">
        <f t="shared" ca="1" si="11"/>
        <v>318509.60886557674</v>
      </c>
      <c r="I33" s="6">
        <f t="shared" ca="1" si="11"/>
        <v>324522.75370893849</v>
      </c>
      <c r="J33" s="6">
        <f t="shared" ca="1" si="11"/>
        <v>331144.50129066617</v>
      </c>
    </row>
    <row r="34" spans="2:10" ht="12.75" customHeight="1" x14ac:dyDescent="0.25"/>
    <row r="35" spans="2:10" ht="12.75" customHeight="1" x14ac:dyDescent="0.25">
      <c r="C35" s="43"/>
    </row>
    <row r="36" spans="2:10" ht="12.75" customHeight="1" x14ac:dyDescent="0.25"/>
    <row r="37" spans="2:10" ht="12.75" customHeight="1" x14ac:dyDescent="0.25"/>
    <row r="38" spans="2:10" ht="12.75" customHeight="1" x14ac:dyDescent="0.25"/>
    <row r="39" spans="2:10" ht="12.75" customHeight="1" x14ac:dyDescent="0.25"/>
    <row r="40" spans="2:10" ht="12.75" customHeight="1" x14ac:dyDescent="0.25"/>
    <row r="41" spans="2:10" ht="12.75" customHeight="1" x14ac:dyDescent="0.25"/>
    <row r="42" spans="2:10" ht="12.75" customHeight="1" x14ac:dyDescent="0.25"/>
    <row r="43" spans="2:10" ht="12.75" customHeight="1" x14ac:dyDescent="0.25"/>
    <row r="44" spans="2:10" ht="12.75" customHeight="1" x14ac:dyDescent="0.25"/>
    <row r="45" spans="2:10" ht="12.75" customHeight="1" x14ac:dyDescent="0.25"/>
    <row r="46" spans="2:10" ht="12.75" customHeight="1" x14ac:dyDescent="0.25"/>
    <row r="47" spans="2:10" ht="12.75" customHeight="1" x14ac:dyDescent="0.25"/>
    <row r="48" spans="2:10"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sheetData>
  <pageMargins left="0.70866141732283472" right="0.70866141732283472" top="0.74803149606299213" bottom="0.74803149606299213" header="0" footer="0"/>
  <pageSetup paperSize="9" scale="61" orientation="portrait"/>
  <headerFooter>
    <oddHeader>&amp;L© ACW Consulting 2016&amp;R&amp;F</oddHeader>
    <oddFooter>&amp;L© ACW Consulting 2016&amp;R&amp;F&amp;A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2" zoomScaleNormal="100" workbookViewId="0">
      <selection activeCell="E15" sqref="E15"/>
    </sheetView>
  </sheetViews>
  <sheetFormatPr defaultColWidth="12.6640625" defaultRowHeight="15" customHeight="1" x14ac:dyDescent="0.25"/>
  <cols>
    <col min="1" max="1" width="1.6640625" customWidth="1"/>
    <col min="2" max="2" width="27" customWidth="1"/>
    <col min="3" max="3" width="13.6640625" customWidth="1"/>
    <col min="4" max="4" width="12.33203125" bestFit="1" customWidth="1"/>
    <col min="5" max="6" width="12" bestFit="1" customWidth="1"/>
    <col min="7" max="10" width="13.109375" bestFit="1" customWidth="1"/>
    <col min="11" max="26" width="8.6640625" customWidth="1"/>
  </cols>
  <sheetData>
    <row r="1" spans="1:26" ht="12.75" customHeight="1" x14ac:dyDescent="0.3">
      <c r="A1" s="1" t="str">
        <f>company&amp;" Balance Sheet"</f>
        <v>BELLWAY P L C Balance Sheet</v>
      </c>
      <c r="B1" s="1"/>
      <c r="C1" s="1"/>
      <c r="D1" s="1"/>
      <c r="E1" s="1"/>
      <c r="F1" s="1"/>
      <c r="G1" s="1"/>
      <c r="H1" s="1"/>
      <c r="I1" s="1"/>
      <c r="J1" s="1"/>
    </row>
    <row r="2" spans="1:26" ht="12.75" customHeight="1" x14ac:dyDescent="0.3">
      <c r="A2" s="2" t="str">
        <f>"in "&amp;currency&amp;" thousands"</f>
        <v>in GBP thousands</v>
      </c>
      <c r="B2" s="1"/>
      <c r="C2" s="1"/>
      <c r="D2" s="1"/>
      <c r="E2" s="1"/>
      <c r="F2" s="1"/>
      <c r="G2" s="1"/>
      <c r="H2" s="1"/>
      <c r="I2" s="1"/>
      <c r="J2" s="1"/>
    </row>
    <row r="3" spans="1:26" ht="12.75" customHeight="1" x14ac:dyDescent="0.25"/>
    <row r="4" spans="1:26" ht="12.75" customHeight="1" x14ac:dyDescent="0.25"/>
    <row r="5" spans="1:26" ht="12.75" customHeight="1" x14ac:dyDescent="0.25">
      <c r="A5" s="6" t="s">
        <v>21</v>
      </c>
    </row>
    <row r="6" spans="1:26" ht="12.75" customHeight="1" x14ac:dyDescent="0.25">
      <c r="B6" s="22"/>
      <c r="C6" s="23"/>
      <c r="D6" s="23"/>
      <c r="E6" s="23"/>
      <c r="F6" s="23"/>
      <c r="G6" s="23"/>
      <c r="H6" s="24"/>
    </row>
    <row r="7" spans="1:26" ht="12.75" customHeight="1" x14ac:dyDescent="0.25">
      <c r="C7" s="10">
        <f>Assumptions!C10</f>
        <v>2022</v>
      </c>
      <c r="D7" s="10">
        <f>Assumptions!D10</f>
        <v>2023</v>
      </c>
      <c r="E7" s="10">
        <f>Assumptions!E10</f>
        <v>2024</v>
      </c>
      <c r="F7" s="10">
        <f>Assumptions!F10</f>
        <v>2025</v>
      </c>
      <c r="G7" s="10">
        <f>Assumptions!G10</f>
        <v>2026</v>
      </c>
      <c r="H7" s="10">
        <f>Assumptions!H10</f>
        <v>2027</v>
      </c>
      <c r="I7" s="10">
        <f>Assumptions!I10</f>
        <v>2028</v>
      </c>
      <c r="J7" s="10">
        <f>Assumptions!J10</f>
        <v>2029</v>
      </c>
    </row>
    <row r="8" spans="1:26" ht="12.75" customHeight="1" x14ac:dyDescent="0.25">
      <c r="C8" s="25"/>
      <c r="D8" s="25"/>
      <c r="E8" s="26"/>
      <c r="F8" s="26"/>
      <c r="G8" s="26"/>
      <c r="H8" s="26"/>
    </row>
    <row r="9" spans="1:26" ht="12.75" customHeight="1" x14ac:dyDescent="0.25">
      <c r="B9" s="3" t="s">
        <v>59</v>
      </c>
      <c r="C9" s="20">
        <v>375300</v>
      </c>
      <c r="D9" s="20">
        <v>362000</v>
      </c>
      <c r="E9" s="29">
        <f ca="1">-E33-SUM(E10:E12,E18)</f>
        <v>555079.86139847897</v>
      </c>
      <c r="F9" s="29">
        <f t="shared" ref="F9:J9" ca="1" si="0">-F33-SUM(F10:F12,F18)</f>
        <v>618937.87091867067</v>
      </c>
      <c r="G9" s="29">
        <f t="shared" ca="1" si="0"/>
        <v>682782.11945928913</v>
      </c>
      <c r="H9" s="29">
        <f t="shared" ca="1" si="0"/>
        <v>750498.48270350788</v>
      </c>
      <c r="I9" s="29">
        <f t="shared" ca="1" si="0"/>
        <v>821645.39081117604</v>
      </c>
      <c r="J9" s="29">
        <f t="shared" ca="1" si="0"/>
        <v>895927.88422599901</v>
      </c>
    </row>
    <row r="10" spans="1:26" ht="12.75" customHeight="1" x14ac:dyDescent="0.25">
      <c r="B10" s="3" t="s">
        <v>60</v>
      </c>
      <c r="C10" s="20">
        <v>47500</v>
      </c>
      <c r="D10" s="20">
        <v>34600</v>
      </c>
      <c r="E10" s="29">
        <f>Assumptions!E23*'Income Statement'!E9</f>
        <v>34406.660000000003</v>
      </c>
      <c r="F10" s="29">
        <f>Assumptions!F23*'Income Statement'!F9</f>
        <v>34750.726600000002</v>
      </c>
      <c r="G10" s="29">
        <f>Assumptions!G23*'Income Statement'!G9</f>
        <v>35098.233866000002</v>
      </c>
      <c r="H10" s="29">
        <f>Assumptions!H23*'Income Statement'!H9</f>
        <v>35449.216204660006</v>
      </c>
      <c r="I10" s="29">
        <f>Assumptions!I23*'Income Statement'!I9</f>
        <v>35803.708366706604</v>
      </c>
      <c r="J10" s="29">
        <f>Assumptions!J23*'Income Statement'!J9</f>
        <v>36161.745450373674</v>
      </c>
    </row>
    <row r="11" spans="1:26" ht="12.75" customHeight="1" x14ac:dyDescent="0.25">
      <c r="B11" s="3" t="s">
        <v>61</v>
      </c>
      <c r="C11" s="20">
        <v>4423600</v>
      </c>
      <c r="D11" s="20">
        <v>4575600</v>
      </c>
      <c r="E11" s="29">
        <f>Assumptions!E24*'Income Statement'!E9</f>
        <v>4472865.8</v>
      </c>
      <c r="F11" s="29">
        <f>Assumptions!F24*'Income Statement'!F9</f>
        <v>4517594.4580000006</v>
      </c>
      <c r="G11" s="29">
        <f>Assumptions!G24*'Income Statement'!G9</f>
        <v>4562770.4025800005</v>
      </c>
      <c r="H11" s="29">
        <f>Assumptions!H24*'Income Statement'!H9</f>
        <v>4608398.1066058008</v>
      </c>
      <c r="I11" s="29">
        <f>Assumptions!I24*'Income Statement'!I9</f>
        <v>4654482.0876718583</v>
      </c>
      <c r="J11" s="29">
        <f>Assumptions!J24*'Income Statement'!J9</f>
        <v>4701026.9085485768</v>
      </c>
    </row>
    <row r="12" spans="1:26" ht="12.75" customHeight="1" x14ac:dyDescent="0.25">
      <c r="B12" s="3" t="s">
        <v>62</v>
      </c>
      <c r="C12" s="20">
        <v>67100</v>
      </c>
      <c r="D12" s="20">
        <v>62500</v>
      </c>
      <c r="E12" s="29">
        <f>Assumptions!E25*'Income Statement'!E9</f>
        <v>61931.987999999998</v>
      </c>
      <c r="F12" s="29">
        <f>Assumptions!F25*'Income Statement'!F9</f>
        <v>62551.30788</v>
      </c>
      <c r="G12" s="29">
        <f>Assumptions!G25*'Income Statement'!G9</f>
        <v>63176.820958800003</v>
      </c>
      <c r="H12" s="29">
        <f>Assumptions!H25*'Income Statement'!H9</f>
        <v>63808.589168388004</v>
      </c>
      <c r="I12" s="29">
        <f>Assumptions!I25*'Income Statement'!I9</f>
        <v>64446.675060071881</v>
      </c>
      <c r="J12" s="29">
        <f>Assumptions!J25*'Income Statement'!J9</f>
        <v>65091.141810672598</v>
      </c>
    </row>
    <row r="13" spans="1:26" ht="12.75" customHeight="1" x14ac:dyDescent="0.25">
      <c r="A13" s="6"/>
      <c r="B13" s="6" t="s">
        <v>63</v>
      </c>
      <c r="C13" s="6">
        <f>SUM(C9:C12)</f>
        <v>4913500</v>
      </c>
      <c r="D13" s="6">
        <f>SUM(D9:D12)</f>
        <v>5034700</v>
      </c>
      <c r="E13" s="6">
        <f t="shared" ref="E13:J13" ca="1" si="1">SUM(E9:E12)</f>
        <v>5169523.9573984798</v>
      </c>
      <c r="F13" s="6">
        <f t="shared" ca="1" si="1"/>
        <v>5325670.8488386711</v>
      </c>
      <c r="G13" s="6">
        <f t="shared" ca="1" si="1"/>
        <v>5483649.7569376891</v>
      </c>
      <c r="H13" s="6">
        <f t="shared" ca="1" si="1"/>
        <v>5647383.4729314754</v>
      </c>
      <c r="I13" s="6">
        <f t="shared" ca="1" si="1"/>
        <v>5816468.0808437038</v>
      </c>
      <c r="J13" s="6">
        <f t="shared" ca="1" si="1"/>
        <v>5990647.028059178</v>
      </c>
      <c r="K13" s="6"/>
      <c r="L13" s="6"/>
      <c r="M13" s="6"/>
      <c r="N13" s="6"/>
      <c r="O13" s="6"/>
      <c r="P13" s="6"/>
      <c r="Q13" s="6"/>
      <c r="R13" s="6"/>
      <c r="S13" s="6"/>
      <c r="T13" s="6"/>
      <c r="U13" s="6"/>
      <c r="V13" s="6"/>
      <c r="W13" s="6"/>
      <c r="X13" s="6"/>
      <c r="Y13" s="6"/>
      <c r="Z13" s="6"/>
    </row>
    <row r="14" spans="1:26" ht="12.75" customHeight="1" x14ac:dyDescent="0.25">
      <c r="C14" s="20"/>
      <c r="D14" s="20"/>
    </row>
    <row r="15" spans="1:26" ht="12.75" customHeight="1" x14ac:dyDescent="0.25">
      <c r="B15" s="3" t="s">
        <v>35</v>
      </c>
      <c r="C15" s="50">
        <v>13600</v>
      </c>
      <c r="D15" s="50">
        <v>14500</v>
      </c>
      <c r="E15" s="13">
        <f ca="1">'Side calculations'!E12</f>
        <v>34681.211267605635</v>
      </c>
      <c r="F15" s="13">
        <f ca="1">'Side calculations'!F12</f>
        <v>49382.730751834955</v>
      </c>
      <c r="G15" s="13">
        <f ca="1">'Side calculations'!G12</f>
        <v>60235.100337911936</v>
      </c>
      <c r="H15" s="13">
        <f ca="1">'Side calculations'!H12</f>
        <v>68386.784718642244</v>
      </c>
      <c r="I15" s="13">
        <f ca="1">'Side calculations'!I12</f>
        <v>74646.761521446024</v>
      </c>
      <c r="J15" s="13">
        <f ca="1">'Side calculations'!J12</f>
        <v>79584.936969080009</v>
      </c>
    </row>
    <row r="16" spans="1:26" ht="12.75" customHeight="1" x14ac:dyDescent="0.25">
      <c r="B16" s="3" t="s">
        <v>64</v>
      </c>
      <c r="C16" s="20">
        <v>37400</v>
      </c>
      <c r="D16" s="20">
        <v>47700</v>
      </c>
      <c r="E16" s="29">
        <f>Assumptions!E27</f>
        <v>47700</v>
      </c>
      <c r="F16" s="29">
        <f>Assumptions!F27</f>
        <v>47700</v>
      </c>
      <c r="G16" s="29">
        <f>Assumptions!G27</f>
        <v>47700</v>
      </c>
      <c r="H16" s="29">
        <f>Assumptions!H27</f>
        <v>47700</v>
      </c>
      <c r="I16" s="29">
        <f>Assumptions!I27</f>
        <v>47700</v>
      </c>
      <c r="J16" s="29">
        <f>Assumptions!J27</f>
        <v>47700</v>
      </c>
    </row>
    <row r="17" spans="1:26" ht="12.75" customHeight="1" x14ac:dyDescent="0.25">
      <c r="B17" s="3" t="s">
        <v>65</v>
      </c>
      <c r="C17" s="51">
        <v>20600</v>
      </c>
      <c r="D17" s="51">
        <v>17200</v>
      </c>
      <c r="E17" s="29">
        <f>Assumptions!E28*'Income Statement'!E9</f>
        <v>17203.330000000002</v>
      </c>
      <c r="F17" s="29">
        <f>Assumptions!F28*'Income Statement'!F9</f>
        <v>17375.363300000001</v>
      </c>
      <c r="G17" s="29">
        <f>Assumptions!G28*'Income Statement'!G9</f>
        <v>17549.116933000001</v>
      </c>
      <c r="H17" s="29">
        <f>Assumptions!H28*'Income Statement'!H9</f>
        <v>17724.608102330003</v>
      </c>
      <c r="I17" s="29">
        <f>Assumptions!I28*'Income Statement'!I9</f>
        <v>17901.854183353302</v>
      </c>
      <c r="J17" s="29">
        <f>Assumptions!J28*'Income Statement'!J9</f>
        <v>18080.872725186837</v>
      </c>
    </row>
    <row r="18" spans="1:26" ht="12.75" customHeight="1" x14ac:dyDescent="0.25">
      <c r="A18" s="6"/>
      <c r="B18" s="6" t="s">
        <v>66</v>
      </c>
      <c r="C18" s="6">
        <f t="shared" ref="C18:J18" si="2">SUM(C15:C17)</f>
        <v>71600</v>
      </c>
      <c r="D18" s="6">
        <f t="shared" si="2"/>
        <v>79400</v>
      </c>
      <c r="E18" s="6">
        <f t="shared" ca="1" si="2"/>
        <v>99754.871267605631</v>
      </c>
      <c r="F18" s="6">
        <f t="shared" ca="1" si="2"/>
        <v>114803.86395183495</v>
      </c>
      <c r="G18" s="6">
        <f t="shared" ca="1" si="2"/>
        <v>126010.65620191194</v>
      </c>
      <c r="H18" s="6">
        <f t="shared" ca="1" si="2"/>
        <v>134523.85169992223</v>
      </c>
      <c r="I18" s="6">
        <f t="shared" ca="1" si="2"/>
        <v>141152.56984235163</v>
      </c>
      <c r="J18" s="6">
        <f t="shared" ca="1" si="2"/>
        <v>146466.86145640371</v>
      </c>
      <c r="K18" s="6"/>
      <c r="L18" s="6"/>
      <c r="M18" s="6"/>
      <c r="N18" s="6"/>
      <c r="O18" s="6"/>
      <c r="P18" s="6"/>
      <c r="Q18" s="6"/>
      <c r="R18" s="6"/>
      <c r="S18" s="6"/>
      <c r="T18" s="6"/>
      <c r="U18" s="6"/>
      <c r="V18" s="6"/>
      <c r="W18" s="6"/>
      <c r="X18" s="6"/>
      <c r="Y18" s="6"/>
      <c r="Z18" s="6"/>
    </row>
    <row r="19" spans="1:26" ht="12.75" customHeight="1" x14ac:dyDescent="0.25">
      <c r="A19" s="6"/>
      <c r="B19" s="6" t="s">
        <v>67</v>
      </c>
      <c r="C19" s="6">
        <f t="shared" ref="C19:J19" si="3">C13+C18</f>
        <v>4985100</v>
      </c>
      <c r="D19" s="6">
        <f t="shared" si="3"/>
        <v>5114100</v>
      </c>
      <c r="E19" s="6">
        <f t="shared" ca="1" si="3"/>
        <v>5269278.8286660854</v>
      </c>
      <c r="F19" s="6">
        <f t="shared" ca="1" si="3"/>
        <v>5440474.712790506</v>
      </c>
      <c r="G19" s="6">
        <f t="shared" ca="1" si="3"/>
        <v>5609660.4131396012</v>
      </c>
      <c r="H19" s="6">
        <f t="shared" ca="1" si="3"/>
        <v>5781907.3246313976</v>
      </c>
      <c r="I19" s="6">
        <f t="shared" ca="1" si="3"/>
        <v>5957620.6506860554</v>
      </c>
      <c r="J19" s="6">
        <f t="shared" ca="1" si="3"/>
        <v>6137113.8895155815</v>
      </c>
      <c r="K19" s="6"/>
      <c r="L19" s="6"/>
      <c r="M19" s="6"/>
      <c r="N19" s="6"/>
      <c r="O19" s="6"/>
      <c r="P19" s="6"/>
      <c r="Q19" s="6"/>
      <c r="R19" s="6"/>
      <c r="S19" s="6"/>
      <c r="T19" s="6"/>
      <c r="U19" s="6"/>
      <c r="V19" s="6"/>
      <c r="W19" s="6"/>
      <c r="X19" s="6"/>
      <c r="Y19" s="6"/>
      <c r="Z19" s="6"/>
    </row>
    <row r="20" spans="1:26" ht="12.75" customHeight="1" x14ac:dyDescent="0.25"/>
    <row r="21" spans="1:26" ht="12.75" customHeight="1" x14ac:dyDescent="0.25">
      <c r="B21" s="3" t="s">
        <v>45</v>
      </c>
      <c r="C21" s="20">
        <v>-2900</v>
      </c>
      <c r="D21" s="20">
        <v>-3100</v>
      </c>
      <c r="E21" s="13">
        <f>-'Side calculations'!E29</f>
        <v>-2600</v>
      </c>
      <c r="F21" s="13">
        <f>-'Side calculations'!F29</f>
        <v>-2100</v>
      </c>
      <c r="G21" s="13">
        <f>-'Side calculations'!G29</f>
        <v>-2100</v>
      </c>
      <c r="H21" s="13">
        <f>-'Side calculations'!H29</f>
        <v>-2100</v>
      </c>
      <c r="I21" s="13">
        <f>-'Side calculations'!I29</f>
        <v>-2100</v>
      </c>
      <c r="J21" s="13">
        <f>-'Side calculations'!J29</f>
        <v>-2100</v>
      </c>
    </row>
    <row r="22" spans="1:26" ht="12.75" customHeight="1" x14ac:dyDescent="0.25">
      <c r="B22" s="3" t="s">
        <v>68</v>
      </c>
      <c r="C22" s="20">
        <v>-585100</v>
      </c>
      <c r="D22" s="20">
        <v>-579600</v>
      </c>
      <c r="E22" s="53">
        <f>-Assumptions!E30*'Income Statement'!E9</f>
        <v>-584913.22000000009</v>
      </c>
      <c r="F22" s="53">
        <f>-Assumptions!F30*'Income Statement'!F9</f>
        <v>-590762.35220000008</v>
      </c>
      <c r="G22" s="53">
        <f>-Assumptions!G30*'Income Statement'!G9</f>
        <v>-596669.97572200012</v>
      </c>
      <c r="H22" s="53">
        <f>-Assumptions!H30*'Income Statement'!H9</f>
        <v>-602636.67547922011</v>
      </c>
      <c r="I22" s="53">
        <f>-Assumptions!I30*'Income Statement'!I9</f>
        <v>-608663.04223401228</v>
      </c>
      <c r="J22" s="53">
        <f>-Assumptions!J30*'Income Statement'!J9</f>
        <v>-614749.6726563524</v>
      </c>
    </row>
    <row r="23" spans="1:26" ht="12.75" customHeight="1" x14ac:dyDescent="0.25">
      <c r="B23" s="3" t="s">
        <v>69</v>
      </c>
      <c r="C23" s="20">
        <v>-383000</v>
      </c>
      <c r="D23" s="20">
        <v>-422800</v>
      </c>
      <c r="E23" s="13">
        <f>-Assumptions!E31*'Income Statement'!E9</f>
        <v>-412879.92</v>
      </c>
      <c r="F23" s="13">
        <f>-Assumptions!F31*'Income Statement'!F9</f>
        <v>-417008.71919999999</v>
      </c>
      <c r="G23" s="13">
        <f>-Assumptions!G31*'Income Statement'!G9</f>
        <v>-421178.806392</v>
      </c>
      <c r="H23" s="13">
        <f>-Assumptions!H31*'Income Statement'!H9</f>
        <v>-425390.59445592004</v>
      </c>
      <c r="I23" s="13">
        <f>-Assumptions!I31*'Income Statement'!I9</f>
        <v>-429644.50040047924</v>
      </c>
      <c r="J23" s="13">
        <f>-Assumptions!J31*'Income Statement'!J9</f>
        <v>-433940.94540448399</v>
      </c>
    </row>
    <row r="24" spans="1:26" ht="12.75" customHeight="1" x14ac:dyDescent="0.25">
      <c r="A24" s="6"/>
      <c r="B24" s="6" t="s">
        <v>70</v>
      </c>
      <c r="C24" s="6">
        <f t="shared" ref="C24:J24" si="4">SUM(C21:C23)</f>
        <v>-971000</v>
      </c>
      <c r="D24" s="6">
        <f t="shared" si="4"/>
        <v>-1005500</v>
      </c>
      <c r="E24" s="6">
        <f t="shared" si="4"/>
        <v>-1000393.1400000001</v>
      </c>
      <c r="F24" s="6">
        <f t="shared" si="4"/>
        <v>-1009871.0714</v>
      </c>
      <c r="G24" s="6">
        <f t="shared" si="4"/>
        <v>-1019948.7821140001</v>
      </c>
      <c r="H24" s="6">
        <f t="shared" si="4"/>
        <v>-1030127.2699351402</v>
      </c>
      <c r="I24" s="6">
        <f t="shared" si="4"/>
        <v>-1040407.5426344916</v>
      </c>
      <c r="J24" s="6">
        <f t="shared" si="4"/>
        <v>-1050790.6180608363</v>
      </c>
      <c r="K24" s="6"/>
      <c r="L24" s="6"/>
      <c r="M24" s="6"/>
      <c r="N24" s="6"/>
      <c r="O24" s="6"/>
      <c r="P24" s="6"/>
      <c r="Q24" s="6"/>
      <c r="R24" s="6"/>
      <c r="S24" s="6"/>
      <c r="T24" s="6"/>
      <c r="U24" s="6"/>
      <c r="V24" s="6"/>
      <c r="W24" s="6"/>
      <c r="X24" s="6"/>
      <c r="Y24" s="6"/>
      <c r="Z24" s="6"/>
    </row>
    <row r="25" spans="1:26" ht="12.75" customHeight="1" x14ac:dyDescent="0.25">
      <c r="C25" s="20"/>
      <c r="D25" s="20"/>
    </row>
    <row r="26" spans="1:26" ht="12.75" customHeight="1" x14ac:dyDescent="0.25">
      <c r="B26" s="3" t="s">
        <v>43</v>
      </c>
      <c r="C26" s="20">
        <v>-144300</v>
      </c>
      <c r="D26" s="20">
        <v>-141900</v>
      </c>
      <c r="E26" s="13">
        <f>-'Side calculations'!E23</f>
        <v>-136900</v>
      </c>
      <c r="F26" s="13">
        <f>-'Side calculations'!F23</f>
        <v>-131900</v>
      </c>
      <c r="G26" s="13">
        <f>-'Side calculations'!G23</f>
        <v>-121900</v>
      </c>
      <c r="H26" s="13">
        <f>-'Side calculations'!H23</f>
        <v>-111900</v>
      </c>
      <c r="I26" s="13">
        <f>-'Side calculations'!I23</f>
        <v>-101900</v>
      </c>
      <c r="J26" s="13">
        <f>-'Side calculations'!J23</f>
        <v>-91900</v>
      </c>
    </row>
    <row r="27" spans="1:26" ht="12.75" customHeight="1" x14ac:dyDescent="0.25">
      <c r="B27" s="3" t="s">
        <v>101</v>
      </c>
      <c r="C27" s="20">
        <v>-92300</v>
      </c>
      <c r="D27" s="20">
        <v>-95400</v>
      </c>
      <c r="E27" s="13">
        <f>-Assumptions!E32*'Income Statement'!E9</f>
        <v>-96338.648000000001</v>
      </c>
      <c r="F27" s="13">
        <f>-Assumptions!F32*'Income Statement'!F9</f>
        <v>-97302.034480000002</v>
      </c>
      <c r="G27" s="13">
        <f>-Assumptions!G32*'Income Statement'!G9</f>
        <v>-98275.054824800012</v>
      </c>
      <c r="H27" s="13">
        <f>-Assumptions!H32*'Income Statement'!H9</f>
        <v>-99257.805373048017</v>
      </c>
      <c r="I27" s="13">
        <f>-Assumptions!I32*'Income Statement'!I9</f>
        <v>-100250.3834267785</v>
      </c>
      <c r="J27" s="13">
        <f>-Assumptions!J32*'Income Statement'!J9</f>
        <v>-101252.88726104627</v>
      </c>
    </row>
    <row r="28" spans="1:26" ht="12.75" customHeight="1" x14ac:dyDescent="0.25">
      <c r="B28" s="3" t="s">
        <v>102</v>
      </c>
      <c r="C28" s="20">
        <v>-409700</v>
      </c>
      <c r="D28" s="20">
        <v>-409700</v>
      </c>
      <c r="E28" s="52">
        <v>-409700</v>
      </c>
      <c r="F28" s="20">
        <v>-409700</v>
      </c>
      <c r="G28" s="20">
        <v>-409700</v>
      </c>
      <c r="H28" s="20">
        <v>-409700</v>
      </c>
      <c r="I28" s="20">
        <v>-409700</v>
      </c>
      <c r="J28" s="20">
        <v>-409700</v>
      </c>
    </row>
    <row r="29" spans="1:26" ht="12.75" customHeight="1" x14ac:dyDescent="0.25">
      <c r="B29" s="3" t="s">
        <v>103</v>
      </c>
      <c r="C29" s="20">
        <v>0</v>
      </c>
      <c r="D29" s="20">
        <v>0</v>
      </c>
      <c r="E29" s="13">
        <f>Assumptions!E34</f>
        <v>0</v>
      </c>
      <c r="F29" s="13">
        <f>Assumptions!F34</f>
        <v>0</v>
      </c>
      <c r="G29" s="13">
        <f>Assumptions!G34</f>
        <v>0</v>
      </c>
      <c r="H29" s="13">
        <f>Assumptions!H34</f>
        <v>0</v>
      </c>
      <c r="I29" s="13">
        <f>Assumptions!I34</f>
        <v>0</v>
      </c>
      <c r="J29" s="13">
        <f>Assumptions!J34</f>
        <v>0</v>
      </c>
    </row>
    <row r="30" spans="1:26" ht="12.75" customHeight="1" x14ac:dyDescent="0.25">
      <c r="A30" s="6"/>
      <c r="B30" s="6" t="s">
        <v>71</v>
      </c>
      <c r="C30" s="6">
        <f t="shared" ref="C30:J30" si="5">SUM(C26:C29)</f>
        <v>-646300</v>
      </c>
      <c r="D30" s="6">
        <f t="shared" si="5"/>
        <v>-647000</v>
      </c>
      <c r="E30" s="6">
        <f t="shared" si="5"/>
        <v>-642938.64800000004</v>
      </c>
      <c r="F30" s="6">
        <f t="shared" si="5"/>
        <v>-638902.03448000003</v>
      </c>
      <c r="G30" s="6">
        <f t="shared" si="5"/>
        <v>-629875.0548248</v>
      </c>
      <c r="H30" s="6">
        <f t="shared" si="5"/>
        <v>-620857.80537304794</v>
      </c>
      <c r="I30" s="6">
        <f t="shared" si="5"/>
        <v>-611850.38342677848</v>
      </c>
      <c r="J30" s="6">
        <f t="shared" si="5"/>
        <v>-602852.88726104633</v>
      </c>
      <c r="K30" s="6"/>
      <c r="L30" s="6"/>
      <c r="M30" s="6"/>
      <c r="N30" s="6"/>
      <c r="O30" s="6"/>
      <c r="P30" s="6"/>
      <c r="Q30" s="6"/>
      <c r="R30" s="6"/>
      <c r="S30" s="6"/>
      <c r="T30" s="6"/>
      <c r="U30" s="6"/>
      <c r="V30" s="6"/>
      <c r="W30" s="6"/>
      <c r="X30" s="6"/>
      <c r="Y30" s="6"/>
      <c r="Z30" s="6"/>
    </row>
    <row r="31" spans="1:26" ht="12.75" customHeight="1" x14ac:dyDescent="0.2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2.75" customHeight="1" x14ac:dyDescent="0.25">
      <c r="B32" s="3" t="s">
        <v>72</v>
      </c>
      <c r="C32" s="20">
        <v>-3367800</v>
      </c>
      <c r="D32" s="20">
        <v>-3461600</v>
      </c>
      <c r="E32" s="21">
        <f ca="1">-'Side calculations'!E18</f>
        <v>-3615114.0526660848</v>
      </c>
      <c r="F32" s="21">
        <f ca="1">-'Side calculations'!F18</f>
        <v>-3769710.6412705057</v>
      </c>
      <c r="G32" s="21">
        <f ca="1">-'Side calculations'!G18</f>
        <v>-3926355.060189202</v>
      </c>
      <c r="H32" s="21">
        <f ca="1">-'Side calculations'!H18</f>
        <v>-4085609.8646219899</v>
      </c>
      <c r="I32" s="21">
        <f ca="1">-'Side calculations'!I18</f>
        <v>-4247871.2414764594</v>
      </c>
      <c r="J32" s="21">
        <f ca="1">-'Side calculations'!J18</f>
        <v>-4413443.4921217924</v>
      </c>
    </row>
    <row r="33" spans="1:26" ht="12.75" customHeight="1" x14ac:dyDescent="0.25">
      <c r="A33" s="6"/>
      <c r="B33" s="6" t="s">
        <v>73</v>
      </c>
      <c r="C33" s="6">
        <f t="shared" ref="C33:J33" si="6">C24+C30+C32</f>
        <v>-4985100</v>
      </c>
      <c r="D33" s="6">
        <f t="shared" si="6"/>
        <v>-5114100</v>
      </c>
      <c r="E33" s="6">
        <f t="shared" ca="1" si="6"/>
        <v>-5269278.8286660854</v>
      </c>
      <c r="F33" s="6">
        <f t="shared" ca="1" si="6"/>
        <v>-5440474.712790506</v>
      </c>
      <c r="G33" s="6">
        <f t="shared" ca="1" si="6"/>
        <v>-5609660.4131396022</v>
      </c>
      <c r="H33" s="6">
        <f t="shared" ca="1" si="6"/>
        <v>-5781907.3246313985</v>
      </c>
      <c r="I33" s="6">
        <f t="shared" ca="1" si="6"/>
        <v>-5957620.6506860554</v>
      </c>
      <c r="J33" s="6">
        <f t="shared" ca="1" si="6"/>
        <v>-6137113.8895155806</v>
      </c>
      <c r="K33" s="6"/>
      <c r="L33" s="6"/>
      <c r="M33" s="6"/>
      <c r="N33" s="6"/>
      <c r="O33" s="6"/>
      <c r="P33" s="6"/>
      <c r="Q33" s="6"/>
      <c r="R33" s="6"/>
      <c r="S33" s="6"/>
      <c r="T33" s="6"/>
      <c r="U33" s="6"/>
      <c r="V33" s="6"/>
      <c r="W33" s="6"/>
      <c r="X33" s="6"/>
      <c r="Y33" s="6"/>
      <c r="Z33" s="6"/>
    </row>
    <row r="34" spans="1:26" ht="12.75" customHeight="1" x14ac:dyDescent="0.25">
      <c r="B34" s="3" t="s">
        <v>74</v>
      </c>
      <c r="C34" s="21">
        <f>C19+C33</f>
        <v>0</v>
      </c>
      <c r="D34" s="21">
        <f t="shared" ref="D34:J34" si="7">D19+D33</f>
        <v>0</v>
      </c>
      <c r="E34" s="21">
        <f t="shared" ca="1" si="7"/>
        <v>0</v>
      </c>
      <c r="F34" s="21">
        <f t="shared" ca="1" si="7"/>
        <v>0</v>
      </c>
      <c r="G34" s="21">
        <f t="shared" ca="1" si="7"/>
        <v>0</v>
      </c>
      <c r="H34" s="21">
        <f t="shared" ca="1" si="7"/>
        <v>0</v>
      </c>
      <c r="I34" s="21">
        <f t="shared" ca="1" si="7"/>
        <v>0</v>
      </c>
      <c r="J34" s="21">
        <f t="shared" ca="1" si="7"/>
        <v>0</v>
      </c>
    </row>
    <row r="35" spans="1:26" ht="12.75" customHeight="1" x14ac:dyDescent="0.25"/>
    <row r="36" spans="1:26" ht="12.75" customHeight="1" x14ac:dyDescent="0.25"/>
    <row r="37" spans="1:26" ht="12.75" customHeight="1" x14ac:dyDescent="0.25"/>
    <row r="38" spans="1:26" ht="12.75" customHeight="1" x14ac:dyDescent="0.25"/>
    <row r="39" spans="1:26" ht="12.75" customHeight="1" x14ac:dyDescent="0.25"/>
    <row r="40" spans="1:26" ht="12.75" customHeight="1" x14ac:dyDescent="0.25"/>
    <row r="41" spans="1:26" ht="12.75" customHeight="1" x14ac:dyDescent="0.25"/>
    <row r="42" spans="1:26" ht="12.75" customHeight="1" x14ac:dyDescent="0.25"/>
    <row r="43" spans="1:26" ht="12.75" customHeight="1" x14ac:dyDescent="0.25"/>
    <row r="44" spans="1:26" ht="12.75" customHeight="1" x14ac:dyDescent="0.25"/>
    <row r="45" spans="1:26" ht="12.75" customHeight="1" x14ac:dyDescent="0.25"/>
    <row r="46" spans="1:26" ht="12.75" customHeight="1" x14ac:dyDescent="0.25"/>
    <row r="47" spans="1:26" ht="12.75" customHeight="1" x14ac:dyDescent="0.25"/>
    <row r="48" spans="1:26"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0866141732283472" right="0.70866141732283472" top="0.74803149606299213" bottom="0.74803149606299213" header="0" footer="0"/>
  <pageSetup paperSize="9" scale="61" orientation="portrait" r:id="rId1"/>
  <headerFooter>
    <oddHeader>&amp;L© ACW Consulting 2016&amp;R&amp;F</oddHeader>
    <oddFooter>&amp;L© ACW Consulting 2016&amp;R&amp;F&amp;A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1"/>
  <sheetViews>
    <sheetView workbookViewId="0">
      <selection activeCell="J24" sqref="J24"/>
    </sheetView>
  </sheetViews>
  <sheetFormatPr defaultColWidth="12.6640625" defaultRowHeight="15" customHeight="1" x14ac:dyDescent="0.25"/>
  <cols>
    <col min="1" max="1" width="1.6640625" customWidth="1"/>
    <col min="2" max="2" width="30.33203125" customWidth="1"/>
    <col min="3" max="4" width="11.6640625" customWidth="1"/>
    <col min="5" max="5" width="12.33203125" bestFit="1" customWidth="1"/>
    <col min="6" max="6" width="13.44140625" bestFit="1" customWidth="1"/>
    <col min="7" max="10" width="11.6640625" customWidth="1"/>
    <col min="11" max="26" width="8.6640625" customWidth="1"/>
  </cols>
  <sheetData>
    <row r="1" spans="1:10" ht="12.75" customHeight="1" x14ac:dyDescent="0.3">
      <c r="A1" s="1" t="str">
        <f>company&amp;" DCF analysis"</f>
        <v>BELLWAY P L C DCF analysis</v>
      </c>
      <c r="B1" s="1"/>
      <c r="C1" s="1"/>
      <c r="D1" s="1"/>
      <c r="E1" s="1"/>
      <c r="F1" s="1"/>
      <c r="G1" s="1"/>
      <c r="H1" s="1"/>
      <c r="I1" s="1"/>
      <c r="J1" s="1"/>
    </row>
    <row r="2" spans="1:10" ht="12.75" customHeight="1" x14ac:dyDescent="0.3">
      <c r="A2" s="2" t="str">
        <f>"in "&amp;currency&amp;" thousands except per share data"</f>
        <v>in GBP thousands except per share data</v>
      </c>
      <c r="B2" s="1"/>
      <c r="C2" s="1"/>
      <c r="D2" s="1"/>
      <c r="E2" s="1"/>
      <c r="F2" s="1"/>
      <c r="G2" s="1"/>
      <c r="H2" s="1"/>
      <c r="I2" s="1"/>
      <c r="J2" s="1"/>
    </row>
    <row r="3" spans="1:10" ht="12.75" customHeight="1" x14ac:dyDescent="0.25"/>
    <row r="4" spans="1:10" ht="12.75" customHeight="1" x14ac:dyDescent="0.25">
      <c r="E4" s="41">
        <v>1</v>
      </c>
      <c r="F4" s="41">
        <f t="shared" ref="F4:J4" si="0">+E4+1</f>
        <v>2</v>
      </c>
      <c r="G4" s="41">
        <f t="shared" si="0"/>
        <v>3</v>
      </c>
      <c r="H4" s="41">
        <f t="shared" si="0"/>
        <v>4</v>
      </c>
      <c r="I4" s="41">
        <f t="shared" si="0"/>
        <v>5</v>
      </c>
      <c r="J4" s="41">
        <f t="shared" si="0"/>
        <v>6</v>
      </c>
    </row>
    <row r="5" spans="1:10" ht="12.75" customHeight="1" x14ac:dyDescent="0.25">
      <c r="C5" s="10"/>
      <c r="D5" s="10"/>
      <c r="E5" s="10">
        <f>Assumptions!E10</f>
        <v>2024</v>
      </c>
      <c r="F5" s="10">
        <f>Assumptions!F10</f>
        <v>2025</v>
      </c>
      <c r="G5" s="10">
        <f>Assumptions!G10</f>
        <v>2026</v>
      </c>
      <c r="H5" s="10">
        <f>Assumptions!H10</f>
        <v>2027</v>
      </c>
      <c r="I5" s="10">
        <f>Assumptions!I10</f>
        <v>2028</v>
      </c>
      <c r="J5" s="10">
        <f>Assumptions!J10</f>
        <v>2029</v>
      </c>
    </row>
    <row r="6" spans="1:10" ht="12.75" customHeight="1" x14ac:dyDescent="0.25"/>
    <row r="7" spans="1:10" ht="12.75" customHeight="1" x14ac:dyDescent="0.25">
      <c r="B7" s="3" t="s">
        <v>53</v>
      </c>
      <c r="E7" s="13">
        <f ca="1">'Income Statement'!E22</f>
        <v>397654.41126760578</v>
      </c>
      <c r="F7" s="13">
        <f ca="1">'Income Statement'!F22</f>
        <v>399124.18348422961</v>
      </c>
      <c r="G7" s="13">
        <f ca="1">'Income Statement'!G22</f>
        <v>402363.48686607723</v>
      </c>
      <c r="H7" s="13">
        <f ca="1">'Income Statement'!H22</f>
        <v>406893.02400633041</v>
      </c>
      <c r="I7" s="13">
        <f ca="1">'Income Statement'!I22</f>
        <v>412376.14322091598</v>
      </c>
      <c r="J7" s="13">
        <f ca="1">'Income Statement'!J22</f>
        <v>418576.66519410821</v>
      </c>
    </row>
    <row r="8" spans="1:10" ht="12.75" customHeight="1" x14ac:dyDescent="0.25">
      <c r="B8" s="3" t="s">
        <v>75</v>
      </c>
      <c r="E8" s="13">
        <f ca="1">-Assumptions!E19*DCF!E7</f>
        <v>-99413.602816901446</v>
      </c>
      <c r="F8" s="13">
        <f ca="1">-Assumptions!F19*DCF!F7</f>
        <v>-99781.045871057402</v>
      </c>
      <c r="G8" s="13">
        <f ca="1">-Assumptions!G19*DCF!G7</f>
        <v>-100590.87171651931</v>
      </c>
      <c r="H8" s="13">
        <f ca="1">-Assumptions!H19*DCF!H7</f>
        <v>-101723.2560015826</v>
      </c>
      <c r="I8" s="13">
        <f ca="1">-Assumptions!I19*DCF!I7</f>
        <v>-103094.035805229</v>
      </c>
      <c r="J8" s="13">
        <f ca="1">-Assumptions!J19*DCF!J7</f>
        <v>-104644.16629852705</v>
      </c>
    </row>
    <row r="9" spans="1:10" ht="12.75" customHeight="1" x14ac:dyDescent="0.25">
      <c r="B9" s="3" t="s">
        <v>76</v>
      </c>
      <c r="E9" s="13">
        <f ca="1">SUM(E7:E8)</f>
        <v>298240.80845070432</v>
      </c>
      <c r="F9" s="13">
        <f t="shared" ref="F9:J9" ca="1" si="1">SUM(F7:F8)</f>
        <v>299343.13761317218</v>
      </c>
      <c r="G9" s="13">
        <f t="shared" ca="1" si="1"/>
        <v>301772.61514955794</v>
      </c>
      <c r="H9" s="13">
        <f t="shared" ca="1" si="1"/>
        <v>305169.76800474781</v>
      </c>
      <c r="I9" s="13">
        <f t="shared" ca="1" si="1"/>
        <v>309282.107415687</v>
      </c>
      <c r="J9" s="13">
        <f t="shared" ca="1" si="1"/>
        <v>313932.49889558117</v>
      </c>
    </row>
    <row r="10" spans="1:10" ht="12.75" customHeight="1" x14ac:dyDescent="0.25"/>
    <row r="11" spans="1:10" ht="12.75" customHeight="1" x14ac:dyDescent="0.25">
      <c r="B11" s="21" t="s">
        <v>77</v>
      </c>
      <c r="E11" s="13">
        <f ca="1">+'Income Statement'!E20*-1</f>
        <v>14566.108732394367</v>
      </c>
      <c r="F11" s="13">
        <f ca="1">+'Income Statement'!F20*-1</f>
        <v>20740.74691577068</v>
      </c>
      <c r="G11" s="13">
        <f ca="1">+'Income Statement'!G20*-1</f>
        <v>25298.742141923012</v>
      </c>
      <c r="H11" s="13">
        <f ca="1">+'Income Statement'!H20*-1</f>
        <v>28722.44958182974</v>
      </c>
      <c r="I11" s="13">
        <f ca="1">+'Income Statement'!I20*-1</f>
        <v>31351.63983900733</v>
      </c>
      <c r="J11" s="13">
        <f ca="1">+'Income Statement'!J20*-1</f>
        <v>33425.673527013605</v>
      </c>
    </row>
    <row r="12" spans="1:10" ht="12.75" customHeight="1" x14ac:dyDescent="0.25">
      <c r="B12" s="21" t="s">
        <v>78</v>
      </c>
      <c r="E12" s="13">
        <f>'Income Statement'!E21</f>
        <v>0</v>
      </c>
      <c r="F12" s="13">
        <f>'Income Statement'!F21</f>
        <v>0</v>
      </c>
      <c r="G12" s="13">
        <f>'Income Statement'!G21</f>
        <v>0</v>
      </c>
      <c r="H12" s="13">
        <f>'Income Statement'!H21</f>
        <v>0</v>
      </c>
      <c r="I12" s="13">
        <f>'Income Statement'!I21</f>
        <v>0</v>
      </c>
      <c r="J12" s="13">
        <f>'Income Statement'!J21</f>
        <v>0</v>
      </c>
    </row>
    <row r="13" spans="1:10" ht="12.75" customHeight="1" x14ac:dyDescent="0.25">
      <c r="B13" s="21" t="s">
        <v>110</v>
      </c>
      <c r="E13" s="13">
        <f>+'Side calculations'!E10*-1</f>
        <v>-34406.660000000003</v>
      </c>
      <c r="F13" s="13">
        <f>+'Side calculations'!F10*-1</f>
        <v>-34750.726600000002</v>
      </c>
      <c r="G13" s="13">
        <f>+'Side calculations'!G10*-1</f>
        <v>-35098.233866000002</v>
      </c>
      <c r="H13" s="13">
        <f>+'Side calculations'!H10*-1</f>
        <v>-35449.216204660006</v>
      </c>
      <c r="I13" s="13">
        <f>+'Side calculations'!I10*-1</f>
        <v>-35803.708366706604</v>
      </c>
      <c r="J13" s="13">
        <f>+'Side calculations'!J10*-1</f>
        <v>-36161.745450373674</v>
      </c>
    </row>
    <row r="14" spans="1:10" ht="12.75" customHeight="1" x14ac:dyDescent="0.25">
      <c r="B14" s="21" t="s">
        <v>111</v>
      </c>
      <c r="E14" s="13">
        <f>-'Balance sheet'!E16*1</f>
        <v>-47700</v>
      </c>
      <c r="F14" s="13">
        <f>-'Balance sheet'!F16*1</f>
        <v>-47700</v>
      </c>
      <c r="G14" s="13">
        <f>-'Balance sheet'!G16*1</f>
        <v>-47700</v>
      </c>
      <c r="H14" s="13">
        <f>-'Balance sheet'!H16*1</f>
        <v>-47700</v>
      </c>
      <c r="I14" s="13">
        <f>-'Balance sheet'!I16*1</f>
        <v>-47700</v>
      </c>
      <c r="J14" s="13">
        <f>-'Balance sheet'!J16*1</f>
        <v>-47700</v>
      </c>
    </row>
    <row r="15" spans="1:10" ht="12.75" customHeight="1" x14ac:dyDescent="0.25">
      <c r="B15" s="21" t="s">
        <v>79</v>
      </c>
      <c r="E15" s="13">
        <f>-'Side calculations'!D32+'Side calculations'!E32</f>
        <v>-108102.41200000048</v>
      </c>
      <c r="F15" s="13">
        <f>-'Side calculations'!E32+'Side calculations'!F32</f>
        <v>55669.97588000074</v>
      </c>
      <c r="G15" s="13">
        <f>-'Side calculations'!F32+'Side calculations'!G32</f>
        <v>56226.675638799556</v>
      </c>
      <c r="H15" s="13">
        <f>-'Side calculations'!G32+'Side calculations'!H32</f>
        <v>56788.942395189777</v>
      </c>
      <c r="I15" s="13">
        <f>-'Side calculations'!H32+'Side calculations'!I32</f>
        <v>57356.83181913849</v>
      </c>
      <c r="J15" s="13">
        <f>-'Side calculations'!I32+'Side calculations'!J32</f>
        <v>57930.400137331337</v>
      </c>
    </row>
    <row r="16" spans="1:10" ht="12.75" customHeight="1" x14ac:dyDescent="0.25">
      <c r="B16" s="21" t="s">
        <v>80</v>
      </c>
      <c r="E16" s="13">
        <f>'Balance sheet'!D17-'Balance sheet'!E17</f>
        <v>-3.3300000000017462</v>
      </c>
      <c r="F16" s="13">
        <f>'Balance sheet'!E17-'Balance sheet'!F17</f>
        <v>-172.03329999999914</v>
      </c>
      <c r="G16" s="13">
        <f>'Balance sheet'!F17-'Balance sheet'!G17</f>
        <v>-173.75363300000026</v>
      </c>
      <c r="H16" s="13">
        <f>'Balance sheet'!G17-'Balance sheet'!H17</f>
        <v>-175.49116933000187</v>
      </c>
      <c r="I16" s="13">
        <f>'Balance sheet'!H17-'Balance sheet'!I17</f>
        <v>-177.24608102329876</v>
      </c>
      <c r="J16" s="13">
        <f>'Balance sheet'!I17-'Balance sheet'!J17</f>
        <v>-179.01854183353498</v>
      </c>
    </row>
    <row r="17" spans="1:15" ht="12.75" customHeight="1" x14ac:dyDescent="0.25">
      <c r="B17" s="21" t="s">
        <v>81</v>
      </c>
      <c r="E17" s="13">
        <f>+('Balance sheet'!D30-'Balance sheet'!E30)-('Balance sheet'!D26-'Balance sheet'!E26)</f>
        <v>938.6480000000447</v>
      </c>
      <c r="F17" s="13">
        <f>+('Balance sheet'!E30-'Balance sheet'!F30)-('Balance sheet'!E26-'Balance sheet'!F26)</f>
        <v>963.38647999998648</v>
      </c>
      <c r="G17" s="13">
        <f>+('Balance sheet'!F30-'Balance sheet'!G30)-('Balance sheet'!F26-'Balance sheet'!G26)</f>
        <v>973.02034479996655</v>
      </c>
      <c r="H17" s="13">
        <f>+('Balance sheet'!G30-'Balance sheet'!H30)-('Balance sheet'!G26-'Balance sheet'!H26)</f>
        <v>982.75054824794643</v>
      </c>
      <c r="I17" s="13">
        <f>+('Balance sheet'!H30-'Balance sheet'!I30)-('Balance sheet'!H26-'Balance sheet'!I26)</f>
        <v>992.57805373053998</v>
      </c>
      <c r="J17" s="13">
        <f>+('Balance sheet'!I30-'Balance sheet'!J30)-('Balance sheet'!I26-'Balance sheet'!J26)</f>
        <v>1002.5038342678454</v>
      </c>
    </row>
    <row r="18" spans="1:15" ht="12.75" customHeight="1" x14ac:dyDescent="0.25">
      <c r="A18" s="6"/>
      <c r="B18" s="6" t="s">
        <v>82</v>
      </c>
      <c r="C18" s="6"/>
      <c r="D18" s="6"/>
      <c r="E18" s="6">
        <f ca="1">+E9+SUM(E11:E17)</f>
        <v>179094.80918309983</v>
      </c>
      <c r="F18" s="6">
        <f t="shared" ref="F18:J18" ca="1" si="2">+F9+SUM(F11:F17)</f>
        <v>350982.32236894261</v>
      </c>
      <c r="G18" s="6">
        <f t="shared" ca="1" si="2"/>
        <v>359541.76388828119</v>
      </c>
      <c r="H18" s="6">
        <f t="shared" ca="1" si="2"/>
        <v>367966.03231531277</v>
      </c>
      <c r="I18" s="6">
        <f t="shared" ca="1" si="2"/>
        <v>376343.03827800491</v>
      </c>
      <c r="J18" s="6">
        <f t="shared" ca="1" si="2"/>
        <v>384735.6492663715</v>
      </c>
    </row>
    <row r="19" spans="1:15" ht="12.75" customHeight="1" x14ac:dyDescent="0.25"/>
    <row r="20" spans="1:15" ht="12.75" customHeight="1" x14ac:dyDescent="0.25"/>
    <row r="21" spans="1:15" ht="12.75" customHeight="1" x14ac:dyDescent="0.25">
      <c r="B21" s="3" t="s">
        <v>83</v>
      </c>
      <c r="C21" s="30">
        <v>0.08</v>
      </c>
    </row>
    <row r="22" spans="1:15" ht="12.75" customHeight="1" x14ac:dyDescent="0.25">
      <c r="B22" s="3" t="s">
        <v>84</v>
      </c>
      <c r="C22" s="30">
        <v>0.01</v>
      </c>
    </row>
    <row r="23" spans="1:15" ht="12.75" customHeight="1" x14ac:dyDescent="0.25"/>
    <row r="24" spans="1:15" ht="12.75" customHeight="1" x14ac:dyDescent="0.25">
      <c r="B24" s="3" t="s">
        <v>85</v>
      </c>
      <c r="J24" s="13">
        <f ca="1">+(J18*(1+g))/(WACC-g)</f>
        <v>5551185.7965576453</v>
      </c>
      <c r="K24" s="13"/>
      <c r="L24" s="13"/>
      <c r="M24" s="13"/>
      <c r="N24" s="13"/>
      <c r="O24" s="13"/>
    </row>
    <row r="25" spans="1:15" ht="12.75" customHeight="1" x14ac:dyDescent="0.25"/>
    <row r="26" spans="1:15" ht="12.75" customHeight="1" x14ac:dyDescent="0.25">
      <c r="B26" s="3" t="s">
        <v>86</v>
      </c>
      <c r="E26" s="56">
        <f t="shared" ref="E26:J26" si="3">1/(1+WACC)^E4</f>
        <v>0.92592592592592582</v>
      </c>
      <c r="F26" s="56">
        <f t="shared" si="3"/>
        <v>0.85733882030178321</v>
      </c>
      <c r="G26" s="56">
        <f t="shared" si="3"/>
        <v>0.79383224102016958</v>
      </c>
      <c r="H26" s="56">
        <f t="shared" si="3"/>
        <v>0.73502985279645328</v>
      </c>
      <c r="I26" s="56">
        <f t="shared" si="3"/>
        <v>0.68058319703375303</v>
      </c>
      <c r="J26" s="56">
        <f t="shared" si="3"/>
        <v>0.63016962688310452</v>
      </c>
    </row>
    <row r="27" spans="1:15" ht="12.75" customHeight="1" x14ac:dyDescent="0.25">
      <c r="B27" s="3" t="s">
        <v>87</v>
      </c>
      <c r="E27">
        <f ca="1">+E18*E26</f>
        <v>165828.52702138873</v>
      </c>
      <c r="F27">
        <f t="shared" ref="F27:J27" ca="1" si="4">+F18*F26</f>
        <v>300910.77020656946</v>
      </c>
      <c r="G27">
        <f t="shared" ca="1" si="4"/>
        <v>285415.84416777891</v>
      </c>
      <c r="H27">
        <f t="shared" ca="1" si="4"/>
        <v>270466.01856681932</v>
      </c>
      <c r="I27">
        <f t="shared" ca="1" si="4"/>
        <v>256132.74817264068</v>
      </c>
      <c r="J27">
        <f t="shared" ca="1" si="4"/>
        <v>242448.72054681828</v>
      </c>
    </row>
    <row r="28" spans="1:15" ht="12.75" customHeight="1" x14ac:dyDescent="0.25"/>
    <row r="29" spans="1:15" ht="12.75" customHeight="1" x14ac:dyDescent="0.25"/>
    <row r="30" spans="1:15" ht="12.75" customHeight="1" x14ac:dyDescent="0.25">
      <c r="B30" s="3" t="s">
        <v>88</v>
      </c>
      <c r="D30" s="13">
        <f ca="1">+SUM(E27:J27)</f>
        <v>1521202.6286820155</v>
      </c>
    </row>
    <row r="31" spans="1:15" ht="12.75" customHeight="1" x14ac:dyDescent="0.25">
      <c r="B31" s="3" t="s">
        <v>89</v>
      </c>
      <c r="D31" s="13">
        <f ca="1">+J24*J26</f>
        <v>3498188.6821755208</v>
      </c>
    </row>
    <row r="32" spans="1:15" ht="12.75" customHeight="1" x14ac:dyDescent="0.25">
      <c r="B32" s="6" t="s">
        <v>90</v>
      </c>
      <c r="C32" s="6"/>
      <c r="D32" s="13">
        <f ca="1">D30+D31</f>
        <v>5019391.3108575363</v>
      </c>
    </row>
    <row r="33" spans="1:26" ht="12.75" customHeight="1" x14ac:dyDescent="0.25">
      <c r="B33" s="3" t="s">
        <v>91</v>
      </c>
      <c r="D33" s="13">
        <f>+'Balance sheet'!E21-'Balance sheet'!E26</f>
        <v>134300</v>
      </c>
    </row>
    <row r="34" spans="1:26" ht="12.75" customHeight="1" x14ac:dyDescent="0.25">
      <c r="B34" s="3" t="s">
        <v>92</v>
      </c>
      <c r="D34" s="13">
        <f>'Balance sheet'!D9</f>
        <v>362000</v>
      </c>
    </row>
    <row r="35" spans="1:26" ht="12.75" customHeight="1" x14ac:dyDescent="0.25">
      <c r="A35" s="6"/>
      <c r="B35" s="6" t="s">
        <v>93</v>
      </c>
      <c r="C35" s="6"/>
      <c r="D35" s="6">
        <f ca="1">+D32-D33+D34</f>
        <v>5247091.3108575363</v>
      </c>
      <c r="E35" s="6"/>
      <c r="F35" s="6"/>
      <c r="G35" s="6"/>
      <c r="H35" s="6"/>
      <c r="I35" s="6"/>
      <c r="J35" s="6"/>
      <c r="K35" s="6"/>
      <c r="L35" s="6"/>
      <c r="M35" s="6"/>
      <c r="N35" s="6"/>
      <c r="O35" s="6"/>
      <c r="P35" s="6"/>
      <c r="Q35" s="6"/>
      <c r="R35" s="6"/>
      <c r="S35" s="6"/>
      <c r="T35" s="6"/>
      <c r="U35" s="6"/>
      <c r="V35" s="6"/>
      <c r="W35" s="6"/>
      <c r="X35" s="6"/>
      <c r="Y35" s="6"/>
      <c r="Z35" s="6"/>
    </row>
    <row r="36" spans="1:26" ht="12.75" customHeight="1" x14ac:dyDescent="0.25">
      <c r="B36" s="3" t="s">
        <v>122</v>
      </c>
      <c r="D36" s="20">
        <v>119450</v>
      </c>
    </row>
    <row r="37" spans="1:26" ht="12.75" customHeight="1" x14ac:dyDescent="0.25">
      <c r="B37" s="6" t="s">
        <v>94</v>
      </c>
      <c r="C37" s="6"/>
      <c r="D37" s="32">
        <f ca="1">+D35/D36</f>
        <v>43.927093435391683</v>
      </c>
    </row>
    <row r="38" spans="1:26" ht="12.75" customHeight="1" x14ac:dyDescent="0.25"/>
    <row r="39" spans="1:26" ht="12.75" customHeight="1" x14ac:dyDescent="0.25"/>
    <row r="40" spans="1:26" ht="12.75" customHeight="1" x14ac:dyDescent="0.25">
      <c r="A40" s="6" t="s">
        <v>95</v>
      </c>
    </row>
    <row r="41" spans="1:26" ht="12.75" customHeight="1" x14ac:dyDescent="0.25">
      <c r="B41" s="3" t="s">
        <v>96</v>
      </c>
      <c r="D41" s="33">
        <v>5.0000000000000001E-3</v>
      </c>
    </row>
    <row r="42" spans="1:26" ht="12.75" customHeight="1" x14ac:dyDescent="0.25">
      <c r="B42" s="3" t="s">
        <v>97</v>
      </c>
      <c r="D42" s="33">
        <v>5.0000000000000001E-3</v>
      </c>
    </row>
    <row r="43" spans="1:26" ht="12.75" customHeight="1" x14ac:dyDescent="0.25"/>
    <row r="44" spans="1:26" ht="12.75" customHeight="1" x14ac:dyDescent="0.25">
      <c r="D44" s="34" t="s">
        <v>98</v>
      </c>
    </row>
    <row r="45" spans="1:26" ht="12.75" customHeight="1" x14ac:dyDescent="0.25">
      <c r="C45" s="35">
        <f ca="1">D37</f>
        <v>43.927093435391683</v>
      </c>
      <c r="D45" s="36">
        <f>+E45-D42</f>
        <v>5.0000000000000001E-3</v>
      </c>
      <c r="E45" s="37">
        <v>0.01</v>
      </c>
      <c r="F45" s="36">
        <f>+E45+D42</f>
        <v>1.4999999999999999E-2</v>
      </c>
    </row>
    <row r="46" spans="1:26" ht="12.75" customHeight="1" x14ac:dyDescent="0.25">
      <c r="C46" s="38">
        <f>+C47+D41</f>
        <v>8.5000000000000006E-2</v>
      </c>
      <c r="D46" s="56">
        <f t="dataTable" ref="D46:F48" dt2D="1" dtr="1" r1="C22" r2="C21" ca="1"/>
        <v>43.927093435391683</v>
      </c>
      <c r="E46" s="32">
        <v>43.927093435391683</v>
      </c>
      <c r="F46" s="31">
        <v>43.927093435391683</v>
      </c>
    </row>
    <row r="47" spans="1:26" ht="12.75" customHeight="1" x14ac:dyDescent="0.25">
      <c r="B47" s="39" t="s">
        <v>83</v>
      </c>
      <c r="C47" s="40">
        <v>0.08</v>
      </c>
      <c r="D47" s="32">
        <v>43.927093435391683</v>
      </c>
      <c r="E47" s="32">
        <v>43.927093435391683</v>
      </c>
      <c r="F47" s="32">
        <v>43.927093435391683</v>
      </c>
    </row>
    <row r="48" spans="1:26" ht="12.75" customHeight="1" x14ac:dyDescent="0.25">
      <c r="C48" s="38">
        <f>+C47-D41</f>
        <v>7.4999999999999997E-2</v>
      </c>
      <c r="D48" s="31">
        <v>43.927093435391683</v>
      </c>
      <c r="E48" s="32">
        <v>43.927093435391683</v>
      </c>
      <c r="F48" s="31">
        <v>43.927093435391683</v>
      </c>
    </row>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C150F-94C1-4ED7-99FA-6B3E41386B72}">
  <dimension ref="B2:J9"/>
  <sheetViews>
    <sheetView workbookViewId="0">
      <selection activeCell="B3" sqref="B3"/>
    </sheetView>
  </sheetViews>
  <sheetFormatPr defaultRowHeight="13.2" x14ac:dyDescent="0.25"/>
  <sheetData>
    <row r="2" spans="2:10" x14ac:dyDescent="0.25">
      <c r="B2" s="3" t="s">
        <v>15</v>
      </c>
    </row>
    <row r="3" spans="2:10" x14ac:dyDescent="0.25">
      <c r="E3" s="10">
        <f>LFY+1</f>
        <v>2024</v>
      </c>
      <c r="F3" s="10">
        <f>LFY+2</f>
        <v>2025</v>
      </c>
      <c r="G3" s="10">
        <f>LFY+3</f>
        <v>2026</v>
      </c>
      <c r="H3" s="10">
        <f>LFY+4</f>
        <v>2027</v>
      </c>
      <c r="I3" s="10">
        <f>LFY+5</f>
        <v>2028</v>
      </c>
      <c r="J3" s="10">
        <f>LFY+6</f>
        <v>2029</v>
      </c>
    </row>
    <row r="4" spans="2:10" x14ac:dyDescent="0.25">
      <c r="B4" s="3" t="s">
        <v>15</v>
      </c>
      <c r="E4" s="11">
        <v>0.02</v>
      </c>
      <c r="F4" s="11">
        <v>0.02</v>
      </c>
      <c r="G4" s="11">
        <v>0.02</v>
      </c>
      <c r="H4" s="11">
        <v>0.02</v>
      </c>
      <c r="I4" s="11">
        <v>0.02</v>
      </c>
      <c r="J4" s="11">
        <v>0.02</v>
      </c>
    </row>
    <row r="5" spans="2:10" x14ac:dyDescent="0.25">
      <c r="B5" s="3" t="s">
        <v>14</v>
      </c>
      <c r="E5" s="11">
        <f t="shared" ref="E5:J5" si="0">E4+1%</f>
        <v>0.03</v>
      </c>
      <c r="F5" s="11">
        <f t="shared" si="0"/>
        <v>0.03</v>
      </c>
      <c r="G5" s="11">
        <f t="shared" si="0"/>
        <v>0.03</v>
      </c>
      <c r="H5" s="11">
        <f t="shared" si="0"/>
        <v>0.03</v>
      </c>
      <c r="I5" s="11">
        <f t="shared" si="0"/>
        <v>0.03</v>
      </c>
      <c r="J5" s="11">
        <f t="shared" si="0"/>
        <v>0.03</v>
      </c>
    </row>
    <row r="6" spans="2:10" x14ac:dyDescent="0.25">
      <c r="B6" s="3" t="s">
        <v>16</v>
      </c>
      <c r="E6" s="11">
        <f t="shared" ref="E6:J6" si="1">E4-1%</f>
        <v>0.01</v>
      </c>
      <c r="F6" s="11">
        <f t="shared" si="1"/>
        <v>0.01</v>
      </c>
      <c r="G6" s="11">
        <f t="shared" si="1"/>
        <v>0.01</v>
      </c>
      <c r="H6" s="11">
        <f t="shared" si="1"/>
        <v>0.01</v>
      </c>
      <c r="I6" s="11">
        <f t="shared" si="1"/>
        <v>0.01</v>
      </c>
      <c r="J6" s="11">
        <f t="shared" si="1"/>
        <v>0.01</v>
      </c>
    </row>
    <row r="8" spans="2:10" x14ac:dyDescent="0.25">
      <c r="C8" s="10"/>
      <c r="D8" s="10"/>
      <c r="E8" s="10">
        <f>LFY+1</f>
        <v>2024</v>
      </c>
      <c r="F8" s="10">
        <f>LFY+2</f>
        <v>2025</v>
      </c>
      <c r="G8" s="10">
        <f>LFY+3</f>
        <v>2026</v>
      </c>
      <c r="H8" s="10">
        <f>LFY+4</f>
        <v>2027</v>
      </c>
      <c r="I8" s="10">
        <f>LFY+5</f>
        <v>2028</v>
      </c>
      <c r="J8" s="10">
        <f>LFY+6</f>
        <v>2029</v>
      </c>
    </row>
    <row r="9" spans="2:10" x14ac:dyDescent="0.25">
      <c r="B9" s="3" t="s">
        <v>18</v>
      </c>
      <c r="C9" s="12"/>
      <c r="D9" s="12"/>
      <c r="E9" s="11">
        <f>VLOOKUP($B$2,$B$4:$J$6,MATCH(E3,$E$8:$J$8)+3,FALSE)</f>
        <v>0.02</v>
      </c>
      <c r="F9" s="11">
        <f t="shared" ref="F9:J9" si="2">VLOOKUP($B$2,$B$4:$J$6,MATCH(F3,$E$8:$J$8)+3,FALSE)</f>
        <v>0.02</v>
      </c>
      <c r="G9" s="11">
        <f t="shared" si="2"/>
        <v>0.02</v>
      </c>
      <c r="H9" s="11">
        <f t="shared" si="2"/>
        <v>0.02</v>
      </c>
      <c r="I9" s="11">
        <f t="shared" si="2"/>
        <v>0.02</v>
      </c>
      <c r="J9" s="11">
        <f t="shared" si="2"/>
        <v>0.02</v>
      </c>
    </row>
  </sheetData>
  <dataValidations count="1">
    <dataValidation type="list" allowBlank="1" showErrorMessage="1" sqref="B2" xr:uid="{41E77666-0873-424F-8476-6B28D11BF23F}">
      <formula1>$B$4:$B$6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Notes</vt:lpstr>
      <vt:lpstr>Assumptions</vt:lpstr>
      <vt:lpstr>Side calculations</vt:lpstr>
      <vt:lpstr>Income Statement</vt:lpstr>
      <vt:lpstr>Balance sheet</vt:lpstr>
      <vt:lpstr>DCF</vt:lpstr>
      <vt:lpstr>Sensitivity</vt:lpstr>
      <vt:lpstr>company</vt:lpstr>
      <vt:lpstr>currency</vt:lpstr>
      <vt:lpstr>g</vt:lpstr>
      <vt:lpstr>LFY</vt:lpstr>
      <vt:lpstr>WACC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dc:creator>
  <cp:lastModifiedBy>Sanjay Rajendran</cp:lastModifiedBy>
  <dcterms:created xsi:type="dcterms:W3CDTF">2016-07-25T06:55:32Z</dcterms:created>
  <dcterms:modified xsi:type="dcterms:W3CDTF">2026-02-03T11:21:00Z</dcterms:modified>
</cp:coreProperties>
</file>